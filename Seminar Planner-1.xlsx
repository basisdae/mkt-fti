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 Planner" sheetId="1" r:id="rId5"/>
    <sheet state="visible" name="Data" sheetId="2" r:id="rId6"/>
    <sheet state="visible" name="How to use" sheetId="3" r:id="rId7"/>
  </sheets>
  <definedNames/>
  <calcPr/>
</workbook>
</file>

<file path=xl/sharedStrings.xml><?xml version="1.0" encoding="utf-8"?>
<sst xmlns="http://schemas.openxmlformats.org/spreadsheetml/2006/main" count="608" uniqueCount="375">
  <si>
    <t>FTI CONNECT / SEMINAR AGENDA PLANNER</t>
  </si>
  <si>
    <t>ใช้วางโครงงานอบรม/สัมมนาแบบ Experience: เลือกหัวข้อ → ระบบดึง Detail → ใส่เวลา → สรุปเวลารวมอัตโนมัติ</t>
  </si>
  <si>
    <t>ชื่องาน</t>
  </si>
  <si>
    <t>FTI CONNECT 2026</t>
  </si>
  <si>
    <t>จำนวนหัวข้อที่ใช้</t>
  </si>
  <si>
    <t>สีหมวดหัวข้อ / อ่าน agenda เร็วขึ้น</t>
  </si>
  <si>
    <t>วันที่จัดงาน</t>
  </si>
  <si>
    <t>เวลารวมทั้งหมด (นาที)</t>
  </si>
  <si>
    <t>Corporate</t>
  </si>
  <si>
    <t>Product</t>
  </si>
  <si>
    <t>Membership</t>
  </si>
  <si>
    <t>Branch</t>
  </si>
  <si>
    <t>Customer</t>
  </si>
  <si>
    <t>Interactive</t>
  </si>
  <si>
    <t>Recognition</t>
  </si>
  <si>
    <t>Logistics</t>
  </si>
  <si>
    <t>Entertainment</t>
  </si>
  <si>
    <t>Marketing</t>
  </si>
  <si>
    <t>กลุ่มเป้าหมายหลัก</t>
  </si>
  <si>
    <t>Dealer ทั่วไป</t>
  </si>
  <si>
    <t>เวลารวม (ชั่วโมง)</t>
  </si>
  <si>
    <t>ทิศทาง</t>
  </si>
  <si>
    <t>สินค้า</t>
  </si>
  <si>
    <t>ระบบสมาชิก/ดิจิทัล</t>
  </si>
  <si>
    <t>สาขา</t>
  </si>
  <si>
    <t>เสียงลูกค้า</t>
  </si>
  <si>
    <t>มีส่วนร่วม</t>
  </si>
  <si>
    <t>รางวัล</t>
  </si>
  <si>
    <t>พัก/ลงทะเบียน</t>
  </si>
  <si>
    <t>กิจกรรม</t>
  </si>
  <si>
    <t>การตลาด</t>
  </si>
  <si>
    <t>จุดประสงค์หลัก</t>
  </si>
  <si>
    <t>อัปเดตทิศทาง FTI</t>
  </si>
  <si>
    <t>เริ่มเร็วสุด</t>
  </si>
  <si>
    <t>Tip: เลือกหัวข้อในคอลัมน์ C แล้วระบบจะดึงหมวด/รูปแบบ/Detail/จุดประสงค์ย่อยมาให้ ทีมสามารถปรับเวลา วิทยากร สถานะ และ Owner ได้ตามจริง</t>
  </si>
  <si>
    <t>หมายเหตุภาพรวม</t>
  </si>
  <si>
    <t>จบช้าสุด</t>
  </si>
  <si>
    <t>ลำดับ</t>
  </si>
  <si>
    <t>วันที่</t>
  </si>
  <si>
    <t>หัวข้อ</t>
  </si>
  <si>
    <t>หมวด</t>
  </si>
  <si>
    <t>รูปแบบ</t>
  </si>
  <si>
    <t>เริ่ม</t>
  </si>
  <si>
    <t>จบ</t>
  </si>
  <si>
    <t>นาที</t>
  </si>
  <si>
    <t>วิทยากร</t>
  </si>
  <si>
    <t>สถานะ</t>
  </si>
  <si>
    <t>Detail อัตโนมัติ</t>
  </si>
  <si>
    <t>จุดประสงค์ย่อย / สิ่งที่ต้องสื่อ</t>
  </si>
  <si>
    <t>ผลลัพธ์ที่อยากได้กลับมา</t>
  </si>
  <si>
    <t>เหมาะกับกลุ่ม</t>
  </si>
  <si>
    <t>หมายเหตุทีม</t>
  </si>
  <si>
    <t>Owner / Follow-up</t>
  </si>
  <si>
    <t>Registration</t>
  </si>
  <si>
    <t>Break</t>
  </si>
  <si>
    <t>ทีม Marketing Content</t>
  </si>
  <si>
    <t>Confirmed</t>
  </si>
  <si>
    <t>ลงทะเบียน + แจก QR/เอกสาร/แผนผังโซน</t>
  </si>
  <si>
    <t>Opening &amp; Welcome</t>
  </si>
  <si>
    <t>เปิดกรอบงานว่าเป็น Experience ไม่ใช่สัมมนานั่งฟัง</t>
  </si>
  <si>
    <t>CEO Vision Update</t>
  </si>
  <si>
    <t>ช่วงสร้างความมั่นใจ ควรเก็บภาพ PR</t>
  </si>
  <si>
    <t>Membership Roadmap</t>
  </si>
  <si>
    <t>เน้นว่า 100% ปีหน้า แต่ทยอยเปิดฟีเจอร์ให้ลองก่อน</t>
  </si>
  <si>
    <t>Asset Drive Center Update</t>
  </si>
  <si>
    <t>สาธิตวิธีช่วยสาขา/Dealer ใช้รูปและสื่อขาย</t>
  </si>
  <si>
    <t>Coffee Break</t>
  </si>
  <si>
    <t>ให้เดินดู Membership Zone / Product Zone</t>
  </si>
  <si>
    <t>Hidden Gems Collection</t>
  </si>
  <si>
    <t>Product Manager</t>
  </si>
  <si>
    <t>เลือกสินค้า 5-8 ตัวพอ อย่าเยอะเกิน</t>
  </si>
  <si>
    <t>สินค้าใหม่ต้องจับได้/เห็นจริง</t>
  </si>
  <si>
    <t>Lunch Break</t>
  </si>
  <si>
    <t>เปิด Exhibition Zone ระหว่างพัก</t>
  </si>
  <si>
    <t>Product Playground</t>
  </si>
  <si>
    <t>หมุนฐานทดลองสินค้า</t>
  </si>
  <si>
    <t>Problem Solving Session</t>
  </si>
  <si>
    <t>เลือก VIP ที่พูดเป็นประโยชน์และสร้างแรงบันดาลใจ</t>
  </si>
  <si>
    <t>ใช้เคสจริงจากสาขา</t>
  </si>
  <si>
    <t>New Product Showcase</t>
  </si>
  <si>
    <t>รอบละ 15 นาที 4 รอบ</t>
  </si>
  <si>
    <t>Ask Me Anything</t>
  </si>
  <si>
    <t>สรุปสิ่งที่จะทยอยเปิด + follow-up</t>
  </si>
  <si>
    <t>Closing &amp; Next Step</t>
  </si>
  <si>
    <t>ใช้เฉพาะถ้างานเป็นครึ่งวันบ่ายถึงเย็น</t>
  </si>
  <si>
    <t>TargetGroups</t>
  </si>
  <si>
    <t>กลุ่มเป้าหมาย</t>
  </si>
  <si>
    <t>รายละเอียด</t>
  </si>
  <si>
    <t>29 สาขา FTI</t>
  </si>
  <si>
    <t>ทีมหน้าร้าน/สาขาภายในทั้งหมด ใช้เพื่อสื่อสารทิศทางเดียวกัน</t>
  </si>
  <si>
    <t>VIP Dealer</t>
  </si>
  <si>
    <t>ตัวแทนจำหน่ายยอดสูง/มีอิทธิพล ควรเน้นความสัมพันธ์และสิทธิพิเศษ</t>
  </si>
  <si>
    <t>ลูกค้ารายใหญ่ที่ยังไม่เป็นตัวแทน</t>
  </si>
  <si>
    <t>ลูกค้าซื้อเยอะ แต่ยังไม่อยู่ในระบบ Dealer ใช้เพื่อปูทาง Partnership</t>
  </si>
  <si>
    <t>กลุ่มตัวแทนกว้าง เน้นความเข้าใจระบบและโอกาสขาย</t>
  </si>
  <si>
    <t>ทีมขายภายใน</t>
  </si>
  <si>
    <t>Sale/Branch/Key Account ที่ต้องนำสารไปเล่าต่อ</t>
  </si>
  <si>
    <t>ผู้บริหารและหัวหน้าสาขา</t>
  </si>
  <si>
    <t>กลุ่มตัดสินใจ/วางแผน ให้เน้น Strategy และ Commitment</t>
  </si>
  <si>
    <t>Supplier Strategic</t>
  </si>
  <si>
    <t>Supplier ที่อยากให้ร่วมพัฒนา Product/Support</t>
  </si>
  <si>
    <t>Mixed Audience</t>
  </si>
  <si>
    <t>ใช้เมื่องานมีหลายกลุ่มรวมกัน ต้องบาลานซ์ความลึกของเนื้อหา</t>
  </si>
  <si>
    <t>MainObjectives</t>
  </si>
  <si>
    <t>สร้างความมั่นใจและภาพเดียวกันก่อนเริ่มปีใหม่</t>
  </si>
  <si>
    <t>เตรียมความพร้อมระบบ Membership</t>
  </si>
  <si>
    <t>ให้ผู้ร่วมงานเข้าใจแต้ม Tier และเริ่มวางแผนการซื้อ</t>
  </si>
  <si>
    <t>ประชาสัมพันธ์ Function Flow</t>
  </si>
  <si>
    <t>สื่อสารระบบ Tracking/Feature ที่จะทยอยเปิดใช้ก่อนเต็มรูปแบบ</t>
  </si>
  <si>
    <t>เปิดตัว/ทดลองสินค้าใหม่</t>
  </si>
  <si>
    <t>ให้จับจริง เห็นจริง วางแผนขายได้ก่อนเปิดขาย</t>
  </si>
  <si>
    <t>ดันสินค้า Hidden Gems</t>
  </si>
  <si>
    <t>หยิบสินค้าดีที่ถูกมองข้ามกลับมาสร้างยอด</t>
  </si>
  <si>
    <t>รับฟังเสียงสาขาและ VIP</t>
  </si>
  <si>
    <t>เก็บ Insight ปัญหา ความต้องการ และข้อเสนอแนะ</t>
  </si>
  <si>
    <t>สร้าง Relationship</t>
  </si>
  <si>
    <t>ทำให้สาขา/VIP รู้สึกเป็นคนวงในและใกล้ผู้บริหาร</t>
  </si>
  <si>
    <t>ยกระดับช่องทางการตลาด</t>
  </si>
  <si>
    <t>สื่อสาร Asset Drive Center, Content, Campaign Support</t>
  </si>
  <si>
    <t>สร้าง Action Plan หลังงาน</t>
  </si>
  <si>
    <t>ให้ทุกฝ่ายมีสิ่งที่ต้องกลับไปทำต่ออย่างชัดเจน</t>
  </si>
  <si>
    <t>Speakers</t>
  </si>
  <si>
    <t>วิทยากร/เจ้าของช่วง</t>
  </si>
  <si>
    <t>บทบาทที่เหมาะสม</t>
  </si>
  <si>
    <t>CEO</t>
  </si>
  <si>
    <t>Vision, Direction, Deep Talk, Relationship</t>
  </si>
  <si>
    <t>ผู้บริหารฝ่ายการตลาด</t>
  </si>
  <si>
    <t>Brand, Campaign, Membership, Asset Drive, Agenda หลัก</t>
  </si>
  <si>
    <t>จัดซื้อ</t>
  </si>
  <si>
    <t>Product Roadmap, Supplier, Pricing Logic, New Product Plan</t>
  </si>
  <si>
    <t>R&amp;D</t>
  </si>
  <si>
    <t>Demo, Test, Technical Explanation, Product Validation</t>
  </si>
  <si>
    <t>Hidden Gems, Product Battle, Deep Dive</t>
  </si>
  <si>
    <t>Sale Manager</t>
  </si>
  <si>
    <t>How to Sell, Dealer/Branch Strategy</t>
  </si>
  <si>
    <t>Branch Manager</t>
  </si>
  <si>
    <t>Best Practice Sharing, Branch Reality</t>
  </si>
  <si>
    <t>IT / Digital Team</t>
  </si>
  <si>
    <t>Function Flow, Tracking, Dashboard, Asset Center</t>
  </si>
  <si>
    <t>Service Team</t>
  </si>
  <si>
    <t>After-sales, Installation, Common Problems</t>
  </si>
  <si>
    <t>VIP Dealer Guest</t>
  </si>
  <si>
    <t>Success Story, Dealer Voice</t>
  </si>
  <si>
    <t>Supplier Guest</t>
  </si>
  <si>
    <t>ใช้เฉพาะ Demo/Tech ไม่ให้พูดยาวขายตัวเอง</t>
  </si>
  <si>
    <t>Moderator</t>
  </si>
  <si>
    <t>คุมเวที Panel, Q&amp;A, Deep Talk</t>
  </si>
  <si>
    <t>Asset Drive, Content Template, Social Media</t>
  </si>
  <si>
    <t>HR / Training</t>
  </si>
  <si>
    <t>Ice Breaking, Group Activity, Workshop Support</t>
  </si>
  <si>
    <t>Formats</t>
  </si>
  <si>
    <t>รูปแบบ Session</t>
  </si>
  <si>
    <t>Keynote</t>
  </si>
  <si>
    <t>Panel</t>
  </si>
  <si>
    <t>Workshop</t>
  </si>
  <si>
    <t>Demo / Playground</t>
  </si>
  <si>
    <t>Round Table</t>
  </si>
  <si>
    <t>Clinic</t>
  </si>
  <si>
    <t>Exhibition Zone</t>
  </si>
  <si>
    <t>Award</t>
  </si>
  <si>
    <t>Networking</t>
  </si>
  <si>
    <t>Lunch / Dinner</t>
  </si>
  <si>
    <t>Q&amp;A</t>
  </si>
  <si>
    <t>Activity / Game</t>
  </si>
  <si>
    <t>Statuses</t>
  </si>
  <si>
    <t>Idea</t>
  </si>
  <si>
    <t>Draft</t>
  </si>
  <si>
    <t>Need Detail</t>
  </si>
  <si>
    <t>Assigned</t>
  </si>
  <si>
    <t>Ready</t>
  </si>
  <si>
    <t>Cancel / Hold</t>
  </si>
  <si>
    <t>SessionLibrary</t>
  </si>
  <si>
    <t>รูปแบบแนะนำ</t>
  </si>
  <si>
    <t>เวลาแนะนำ(นาที)</t>
  </si>
  <si>
    <t>วิทยากรแนะนำ</t>
  </si>
  <si>
    <t>Detail</t>
  </si>
  <si>
    <t>Corporate Update</t>
  </si>
  <si>
    <t>เปิดงาน สร้างบรรยากาศ และบอกเป้าหมายของวัน</t>
  </si>
  <si>
    <t>ให้ทุกคนเข้าใจว่างานนี้ไม่ใช่แค่ฟังอบรม แต่เป็นการร่วมวางทิศทาง</t>
  </si>
  <si>
    <t>ผู้ร่วมงานพร้อมเข้าสู่เนื้อหาและเข้าใจภาพรวม</t>
  </si>
  <si>
    <t>ผู้บริหารเล่าทิศทาง FTI ช่วงครบรอบ 30 ปี และการเปลี่ยนแปลงปีหน้า</t>
  </si>
  <si>
    <t>สร้างความเชื่อมั่นว่า FTI ไม่ได้หยุดนิ่งและพร้อมสนับสนุนทุกช่องทาง</t>
  </si>
  <si>
    <t>ความเชื่อมั่น/คำถามเชิงกลยุทธ์จากสาขาและ VIP</t>
  </si>
  <si>
    <t>FTI 30 Years Journey</t>
  </si>
  <si>
    <t>เล่าเส้นทาง 30 ปีแบบกระชับ เชื่อมอดีตกับอนาคต</t>
  </si>
  <si>
    <t>ทำให้คนในและ VIP รู้สึกเป็นส่วนหนึ่งของการเดินทาง</t>
  </si>
  <si>
    <t>ความภูมิใจร่วมและภาพจำแบรนด์ที่แข็งแรง</t>
  </si>
  <si>
    <t>Business Direction 2027</t>
  </si>
  <si>
    <t>สรุปทิศทางธุรกิจ สินค้า ช่องทาง และระบบสนับสนุนปีหน้า</t>
  </si>
  <si>
    <t>ให้สาขาและ VIP เตรียมตัวล่วงหน้า</t>
  </si>
  <si>
    <t>Commitment ต่อแผนปีหน้าและคำถามสำคัญ</t>
  </si>
  <si>
    <t>Market Outlook &amp; Water Trends</t>
  </si>
  <si>
    <t>ภาพรวมตลาดเครื่องกรองน้ำ พฤติกรรมลูกค้า และโอกาสใหม่</t>
  </si>
  <si>
    <t>ชี้ให้เห็นว่าตลาดเปลี่ยน และ FTI เตรียมเครื่องมือรองรับ</t>
  </si>
  <si>
    <t>ประเด็นตลาดที่สาขาเห็นตรง/เห็นต่าง</t>
  </si>
  <si>
    <t>China Watertech Recap</t>
  </si>
  <si>
    <t>สรุปสิ่งที่ได้จากงานจีน เทรนด์สินค้าใหม่ และแนวทางคัดเลือก</t>
  </si>
  <si>
    <t>ให้เห็นว่า FTI คัดสินค้าแบบมีระบบ ไม่ได้เลือกตามกระแส</t>
  </si>
  <si>
    <t>ความสนใจต่อกลุ่มสินค้าใหม่</t>
  </si>
  <si>
    <t>แนะนำสินค้าเก่าที่ดีแต่ไม่ค่อยถูกขาย พร้อมเหตุผลว่าทำไมควรหยิบมาขาย</t>
  </si>
  <si>
    <t>ปลุกสินค้า GP ดี/ปัญหาน้อย/ขายซ้ำได้ ให้กลับมาอยู่ในสายตา</t>
  </si>
  <si>
    <t>รายชื่อสินค้าที่สาขาอยากทดลองขาย</t>
  </si>
  <si>
    <t>เปิดตัวสินค้าใหม่แบบจับจริง เห็นจริง ไม่ใช่ดูสไลด์อย่างเดียว</t>
  </si>
  <si>
    <t>ทำให้ผู้ร่วมงานจำจุดขายและข้อจำกัดได้จริง</t>
  </si>
  <si>
    <t>Feedback ต่อสินค้าใหม่และการตั้งราคา/แพ็กเกจ</t>
  </si>
  <si>
    <t>Product Demo Live</t>
  </si>
  <si>
    <t>ทดลองติดตั้ง เปิดเครื่อง แกะชิ้นส่วน หรือทดสอบการใช้งานจริง</t>
  </si>
  <si>
    <t>เปลี่ยนความเข้าใจจากฟังเป็นประสบการณ์</t>
  </si>
  <si>
    <t>คำถามเทคนิค ปัญหาหน้างาน และจุดที่ต้องทำคู่มือเพิ่ม</t>
  </si>
  <si>
    <t>Product Battle</t>
  </si>
  <si>
    <t>เทียบสินค้า 2-3 รุ่นแบบพูดข้อดีข้อเสียจริง</t>
  </si>
  <si>
    <t>ช่วยให้สาขาเลือกสินค้าให้เหมาะกับลูกค้า ไม่ขายผิดตัว</t>
  </si>
  <si>
    <t>Use case สำหรับแต่ละรุ่นและคำถามคาใจ</t>
  </si>
  <si>
    <t>Product Deep Dive</t>
  </si>
  <si>
    <t>เจาะสินค้าเด่นแบบลึกขึ้น เช่น โครงสร้าง ไส้กรอง จุดต่าง และข้อควรระวัง</t>
  </si>
  <si>
    <t>สร้างความเข้าใจที่ใช้ตอบลูกค้าหน้างานได้</t>
  </si>
  <si>
    <t>ประเด็นที่ต้องทำเป็น FAQ หรือ Asset เพิ่ม</t>
  </si>
  <si>
    <t>Future Product Preview</t>
  </si>
  <si>
    <t>โชว์ Prototype / Demo / Concept ที่ยังไม่ขายจริง</t>
  </si>
  <si>
    <t>ทำให้ VIP และสาขารู้สึกเป็นวงใน และเก็บเสียงก่อนสั่งจริง</t>
  </si>
  <si>
    <t>Feedback ก่อนเปิดขายจริง ลดความเสี่ยงการสั่งผิด</t>
  </si>
  <si>
    <t>Product Roadmap 2027</t>
  </si>
  <si>
    <t>เล่ากลุ่มสินค้าที่จะเน้นปีหน้า และสินค้าที่ควรวางแผนล่วงหน้า</t>
  </si>
  <si>
    <t>ให้สาขา/Dealer เตรียมพื้นที่ขายและงบซื้อ</t>
  </si>
  <si>
    <t>ความต้องการ pre-order หรือ demo เพิ่ม</t>
  </si>
  <si>
    <t>Membership &amp; Digital</t>
  </si>
  <si>
    <t>Function Flow Introduction</t>
  </si>
  <si>
    <t>แนะนำระบบ Function Flow ว่าจะเป็นศูนย์กลางแต้ม สถานะ และสิทธิประโยชน์</t>
  </si>
  <si>
    <t>ให้ทุกคนเข้าใจว่า FTI กำลังเปลี่ยนจากโปรรายเดือนสู่ระบบระยะยาว</t>
  </si>
  <si>
    <t>ความเข้าใจเบื้องต้นและคำถามเรื่องการใช้งาน</t>
  </si>
  <si>
    <t>เล่า Roadmap ว่าระบบจะเต็ม 100% ปีหน้า แต่ทยอยเปิด Feature ก่อน</t>
  </si>
  <si>
    <t>ให้ Dealer/VIP เตรียมวางแผนการซื้อ ไม่ต้องรอถึงปีหน้า</t>
  </si>
  <si>
    <t>ความพร้อมเข้าร่วม Pilot และคำถามเงื่อนไข</t>
  </si>
  <si>
    <t>Point System Preview</t>
  </si>
  <si>
    <t>อธิบายแต้ม Tier Reward และหลักคิดการสะสมแบบเข้าใจง่าย</t>
  </si>
  <si>
    <t>ลดความสับสนและทำให้เห็นประโยชน์จากการซื้อสม่ำเสมอ</t>
  </si>
  <si>
    <t>คำถามเรื่องแต้ม/เงื่อนไข/ของรางวัล</t>
  </si>
  <si>
    <t>Early Access Features</t>
  </si>
  <si>
    <t>โชว์ฟีเจอร์ที่จะทยอยเปิด เช่น Tracking, Status, Dashboard, Claim Reward</t>
  </si>
  <si>
    <t>ทำให้คนเห็นว่าระบบกำลังเกิดจริง ไม่ใช่แค่แนวคิด</t>
  </si>
  <si>
    <t>รายชื่อกลุ่มที่อยากทดลองใช้ก่อน</t>
  </si>
  <si>
    <t>Dealer Dashboard Preview</t>
  </si>
  <si>
    <t>พรีวิวหน้าจอ Dashboard สำหรับดูยอด แต้ม สิทธิ์ และสถานะ</t>
  </si>
  <si>
    <t>ให้ผู้ใช้เห็นประโยชน์เชิงปฏิบัติ</t>
  </si>
  <si>
    <t>Feedback UX และข้อมูลที่อยากเห็นเพิ่ม</t>
  </si>
  <si>
    <t>อัปเดตศูนย์รวมรูปสินค้า Artwork Template คลิป และเอกสารขาย</t>
  </si>
  <si>
    <t>ให้สาขา/Dealer รู้ว่าหา Asset ได้จากที่ไหน ลดงานขอซ้ำ</t>
  </si>
  <si>
    <t>รายการ Asset ที่ต้องเพิ่มและผู้รับผิดชอบ</t>
  </si>
  <si>
    <t>Digital Transformation Journey</t>
  </si>
  <si>
    <t>เล่าภาพรวมการเปลี่ยนระบบสนับสนุนจาก Manual เป็น Digital</t>
  </si>
  <si>
    <t>สร้างความมั่นใจว่า FTI กำลังลดความยุ่งยากให้ช่องทางขาย</t>
  </si>
  <si>
    <t>Pain point ที่ควรแก้ด้วยระบบในเฟสถัดไป</t>
  </si>
  <si>
    <t>Sales &amp; Marketing</t>
  </si>
  <si>
    <t>Water Store Growth Strategy</t>
  </si>
  <si>
    <t>แนวทางใช้ Water Store เป็นจุดสร้างการมองเห็นและลูกค้าใหม่</t>
  </si>
  <si>
    <t>ให้สาขาเห็นบทบาทของหน้าร้านในฐานะสื่อและช่องทางขาย</t>
  </si>
  <si>
    <t>ไอเดียกิจกรรมหน้าร้าน/พื้นที่ทดลอง</t>
  </si>
  <si>
    <t>Marketing Support Program</t>
  </si>
  <si>
    <t>อธิบายสิ่งที่ FTI จะช่วยช่องทางขาย เช่น Content, Artwork, Campaign, Booth</t>
  </si>
  <si>
    <t>ให้ Dealer รู้ว่าไม่ได้ขายลำพัง และรู้วิธีขอ Support</t>
  </si>
  <si>
    <t>ความต้องการสนับสนุนรายสาขา/รายพื้นที่</t>
  </si>
  <si>
    <t>Content &amp; Asset Support</t>
  </si>
  <si>
    <t>สอนใช้ภาพ คลิป Caption และ Template ให้ถูกต้องกับแบรนด์</t>
  </si>
  <si>
    <t>ลดภาพลักษณ์แตกต่างกัน และทำให้สื่อสารง่ายขึ้น</t>
  </si>
  <si>
    <t>รายการ Template ที่ทีมต้องทำต่อ</t>
  </si>
  <si>
    <t>Social Media Best Practice</t>
  </si>
  <si>
    <t>แชร์วิธีโพสต์สินค้า/บริการให้ดูน่าเชื่อถือ ไม่ Hard Sell เกินไป</t>
  </si>
  <si>
    <t>ยกระดับการตลาดของสาขาและ Dealer</t>
  </si>
  <si>
    <t>ตัวอย่างโพสต์/คอนเทนต์ที่นำไปใช้ได้ทันที</t>
  </si>
  <si>
    <t>Campaign Preview</t>
  </si>
  <si>
    <t>พรีวิวแคมเปญที่ FTI จะสื่อสารต่อสาธารณะ</t>
  </si>
  <si>
    <t>ให้สาขาเตรียมรับลูกค้าที่เห็นสื่อและถามกลับมา</t>
  </si>
  <si>
    <t>คำถามเรื่องช่วงเวลาและการร่วมโปรโมต</t>
  </si>
  <si>
    <t>How To Sell More</t>
  </si>
  <si>
    <t>เวิร์กช็อปวิธีเลือกสินค้า พูดจุดขาย ปิดการขาย และ Upsell</t>
  </si>
  <si>
    <t>เพิ่มทักษะที่เอาไปใช้ขายจริงได้</t>
  </si>
  <si>
    <t>Action plan ของแต่ละสาขาหลังงาน</t>
  </si>
  <si>
    <t>Branch Sharing</t>
  </si>
  <si>
    <t>Branch Best Practice Sharing</t>
  </si>
  <si>
    <t>ให้สาขาที่ทำได้ดีแชร์วิธีทำงานจริง</t>
  </si>
  <si>
    <t>แลกเปลี่ยนสิ่งที่พิสูจน์แล้วในสนามจริง</t>
  </si>
  <si>
    <t>Checklist วิธีทำที่สาขาอื่นนำไปลอง</t>
  </si>
  <si>
    <t>Fastest Growing Branch</t>
  </si>
  <si>
    <t>เล่าเคสสาขาที่เติบโตเร็วว่าทำอะไรต่าง</t>
  </si>
  <si>
    <t>สร้างแรงบันดาลใจและมาตรฐานใหม่</t>
  </si>
  <si>
    <t>ปัจจัยสำเร็จที่ทำซ้ำได้</t>
  </si>
  <si>
    <t>หยิบปัญหาจริงจากสาขามาช่วยกันแก้สด</t>
  </si>
  <si>
    <t>ทำให้การประชุมมีประโยชน์จริง ไม่ใช่แค่รับฟังจากส่วนกลาง</t>
  </si>
  <si>
    <t>รายการปัญหาและ Owner ที่ต้องกลับไปแก้</t>
  </si>
  <si>
    <t>Lessons Learned</t>
  </si>
  <si>
    <t>แชร์สิ่งที่เคยพลาด เพื่อไม่ให้สาขาอื่นพลาดซ้ำ</t>
  </si>
  <si>
    <t>สร้างวัฒนธรรมเรียนรู้แบบไม่โทษกัน</t>
  </si>
  <si>
    <t>ข้อควรระวังและแนวทางป้องกัน</t>
  </si>
  <si>
    <t>Voice of Customer</t>
  </si>
  <si>
    <t>VIP Customer Talk</t>
  </si>
  <si>
    <t>เชิญ VIP/ลูกค้ารายใหญ่พูดมุมมองต่อ FTI และสิ่งที่ต้องการ</t>
  </si>
  <si>
    <t>ให้ทีมในฟังเสียงลูกค้าตรงๆ และทำให้ VIP รู้สึกมีคุณค่า</t>
  </si>
  <si>
    <t>Insight จากลูกค้ารายใหญ่</t>
  </si>
  <si>
    <t>Dealer Panel</t>
  </si>
  <si>
    <t>Panel ตัวแทน/VIP พูดเรื่องโอกาส ปัญหา และสิ่งที่อยากให้ FTI ช่วย</t>
  </si>
  <si>
    <t>ใช้เวทีเป็นการรับฟังอย่างเป็นระบบ</t>
  </si>
  <si>
    <t>Pain point และ Demand ที่ใช้ทำแผนต่อ</t>
  </si>
  <si>
    <t>Open Feedback Session</t>
  </si>
  <si>
    <t>เปิดให้ถาม/เสนอแบบควบคุมเวลา อาจใช้ QR รับคำถาม</t>
  </si>
  <si>
    <t>เก็บเสียงจริงโดยไม่ให้เวทีหลุดประเด็น</t>
  </si>
  <si>
    <t>คำถาม FAQ และประเด็นเร่งด่วน</t>
  </si>
  <si>
    <t>What We Need From FTI</t>
  </si>
  <si>
    <t>แบ่งโต๊ะพูดคุยว่าช่องทางขายต้องการอะไรจาก FTI</t>
  </si>
  <si>
    <t>ให้ได้ข้อมูลเชิงลึกมากกว่า Q&amp;A หน้าเวที</t>
  </si>
  <si>
    <t>รายการความต้องการเรียง Priority</t>
  </si>
  <si>
    <t>CEO Deep Talk</t>
  </si>
  <si>
    <t>โต๊ะกลม 4 ที่นั่ง รอบละ 15 นาที ให้คุยกับ CEO/จัดซื้อ/R&amp;D/Marketing</t>
  </si>
  <si>
    <t>สร้างความสัมพันธ์ระดับสูงและความรู้สึกเป็นคนวงใน</t>
  </si>
  <si>
    <t>คำถาม/ข้อเสนอที่ต้อง Follow up เฉพาะราย</t>
  </si>
  <si>
    <t>พื้นที่ทดลองสินค้าแบบหมุนฐาน ให้ผู้ร่วมงานจับ ลอง ถาม และเทียบได้</t>
  </si>
  <si>
    <t>ทำให้สินค้าใหม่ถูกเข้าใจผ่านประสบการณ์</t>
  </si>
  <si>
    <t>Feedback หน้างานและคำถามที่ต้องทำสื่อเพิ่ม</t>
  </si>
  <si>
    <t>Dealer Clinic</t>
  </si>
  <si>
    <t>คลินิกแก้ปัญหาการขาย การตลาด หน้าร้าน หรือบริการแบบเคสต่อเคส</t>
  </si>
  <si>
    <t>ให้ผู้ร่วมงานรู้สึกได้ประโยชน์ตรงกับปัญหาตัวเอง</t>
  </si>
  <si>
    <t>รายการเคสและคำแนะนำเฉพาะราย</t>
  </si>
  <si>
    <t>ถามตอบสดกับผู้บริหาร/ทีมหลักแบบควบคุมประเด็น</t>
  </si>
  <si>
    <t>เคลียร์ข้อสงสัยสำคัญก่อนปิดงาน</t>
  </si>
  <si>
    <t>FAQ และประเด็นที่ต้องสื่อสารต่อ</t>
  </si>
  <si>
    <t>Top Dealer Award</t>
  </si>
  <si>
    <t>มอบรางวัล Dealer/ลูกค้าที่มียอดหรือความร่วมมือโดดเด่น</t>
  </si>
  <si>
    <t>สร้างแรงจูงใจและภาพจำบวก</t>
  </si>
  <si>
    <t>ภาพ PR และความสัมพันธ์ที่แน่นขึ้น</t>
  </si>
  <si>
    <t>Branch Achievement Award</t>
  </si>
  <si>
    <t>ยกย่องสาขาที่ทำผลงานดีหรือมีพัฒนาการชัด</t>
  </si>
  <si>
    <t>กระตุ้นทีมภายในและสร้างมาตรฐานใหม่</t>
  </si>
  <si>
    <t>แรงจูงใจและเคสตัวอย่าง</t>
  </si>
  <si>
    <t>Long Partnership Award</t>
  </si>
  <si>
    <t>ขอบคุณผู้ร่วมงานที่อยู่กับ FTI มานาน</t>
  </si>
  <si>
    <t>รักษาความสัมพันธ์และความภักดี</t>
  </si>
  <si>
    <t>ภาพความผูกพันระยะยาว</t>
  </si>
  <si>
    <t>Quiz Game</t>
  </si>
  <si>
    <t>เกมทบทวนความเข้าใจแบบสนุก เช่น สินค้า/ระบบ/แต้ม</t>
  </si>
  <si>
    <t>ทำให้ความรู้ไม่หนักเกินไป และเช็คความเข้าใจ</t>
  </si>
  <si>
    <t>คะแนน/ประเด็นที่คนยังเข้าใจผิด</t>
  </si>
  <si>
    <t>Lucky Draw</t>
  </si>
  <si>
    <t>จับรางวัลเพื่อสร้างบรรยากาศและตรึงคนไว้จนจบ</t>
  </si>
  <si>
    <t>เพิ่มความสนุกและภาพจำของงาน</t>
  </si>
  <si>
    <t>Engagement และภาพกิจกรรม</t>
  </si>
  <si>
    <t>Networking Dinner</t>
  </si>
  <si>
    <t>มื้ออาหารสำหรับคุยต่อแบบไม่เป็นทางการ</t>
  </si>
  <si>
    <t>สร้างความสัมพันธ์ที่เวทีใหญ่ทำไม่ได้</t>
  </si>
  <si>
    <t>บทสนทนา/ดีล/ประเด็นติดตามหลังงาน</t>
  </si>
  <si>
    <t>ลงทะเบียน รับป้ายชื่อ เอกสาร และจัดกลุ่มผู้ร่วมงาน</t>
  </si>
  <si>
    <t>เริ่มงานเป็นระบบและเก็บข้อมูลผู้เข้าร่วม</t>
  </si>
  <si>
    <t>รายชื่อผู้เข้าร่วมจริงและกลุ่มเป้าหมาย</t>
  </si>
  <si>
    <t>พักเบรกและให้เดินชมโซนสินค้า/Asset/Membership</t>
  </si>
  <si>
    <t>ให้คนย่อยข้อมูลและสร้างบทสนทนาระหว่างกัน</t>
  </si>
  <si>
    <t>Feedback ระหว่างพักและการเยี่ยมโซน</t>
  </si>
  <si>
    <t>พักกลางวัน พร้อมเปิดพื้นที่ Exhibition Zone</t>
  </si>
  <si>
    <t>ไม่ให้พลังงานตกและเพิ่มเวลาชมบูธ</t>
  </si>
  <si>
    <t>จำนวนคนเข้าโซนต่างๆ</t>
  </si>
  <si>
    <t>สรุปสิ่งที่เกิดขึ้น สิ่งที่จะทยอยเปิด และช่องทางติดตามหลังงาน</t>
  </si>
  <si>
    <t>ปิดงานด้วย Action ไม่ใช่จบแล้วหาย</t>
  </si>
  <si>
    <t>รายการ Follow-up, Owner, Timeline</t>
  </si>
  <si>
    <t>วิธีใช้ไฟล์ Agenda Planner</t>
  </si>
  <si>
    <t>1</t>
  </si>
  <si>
    <t>กรอกชื่องาน/วันที่/กลุ่มเป้าหมาย/จุดประสงค์หลักด้านบนของหน้า Agenda Planner</t>
  </si>
  <si>
    <t>2</t>
  </si>
  <si>
    <t>เลือกหัวข้อในคอลัมน์ C ระบบจะดึงหมวด รูปแบบ วิทยากร Detail และผลลัพธ์ให้อัตโนมัติ</t>
  </si>
  <si>
    <t>3</t>
  </si>
  <si>
    <t>ใส่เวลาเริ่ม-จบในคอลัมน์ F/G แล้วคอลัมน์ H จะคำนวณนาทีให้เอง</t>
  </si>
  <si>
    <t>4</t>
  </si>
  <si>
    <t>คอลัมน์ I และ N แก้ได้เองด้วย dropdown หากต้องการเปลี่ยนวิทยากรหรือกลุ่มที่เหมาะสม</t>
  </si>
  <si>
    <t>5</t>
  </si>
  <si>
    <t>ใช้คอลัมน์ O/P สำหรับหมายเหตุทีม Owner และสิ่งที่ต้อง follow-up</t>
  </si>
  <si>
    <t>6</t>
  </si>
  <si>
    <t>หน้า Data คือคลังหัวข้อและ dropdown สามารถเพิ่มหัวข้อใหม่ได้ แต่ควรเพิ่มให้อยู่ในช่วงรายการที่ตั้งไว้</t>
  </si>
  <si>
    <t>7</t>
  </si>
  <si>
    <t>ไฟล์นี้ตั้งใจให้เป็นต้นทางสำหรับทำ Brief/Agenda ต่อ ไม่ใช่แค่ตารางเวลา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</si>
</sst>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hh:mm"/>
  </numFmts>
  <fonts count="24">
    <font>
      <sz val="11.0"/>
      <color rgb="FF000000"/>
      <name val="Carlito"/>
      <scheme val="minor"/>
    </font>
    <font>
      <b/>
      <sz val="20.0"/>
      <color rgb="FFFFFFFF"/>
      <name val="Bai Jamjuree"/>
    </font>
    <font>
      <i/>
      <sz val="10.0"/>
      <color rgb="FF475467"/>
      <name val="Bai Jamjuree"/>
    </font>
    <font>
      <b/>
      <sz val="10.0"/>
      <color rgb="FFFFFFFF"/>
      <name val="Bai Jamjuree"/>
    </font>
    <font>
      <sz val="10.0"/>
      <color rgb="FF111827"/>
      <name val="Bai Jamjuree"/>
    </font>
    <font>
      <b/>
      <sz val="12.0"/>
      <color rgb="FF3F2F00"/>
      <name val="Bai Jamjuree"/>
    </font>
    <font>
      <b/>
      <sz val="11.0"/>
      <color rgb="FFFFFFFF"/>
      <name val="Bai Jamjuree"/>
    </font>
    <font>
      <b/>
      <sz val="9.0"/>
      <color rgb="FF111827"/>
      <name val="Bai Jamjuree"/>
    </font>
    <font>
      <sz val="9.0"/>
      <color rgb="FF111827"/>
      <name val="Bai Jamjuree"/>
    </font>
    <font>
      <b/>
      <sz val="10.0"/>
      <color rgb="FF111827"/>
      <name val="Bai Jamjuree"/>
    </font>
    <font/>
    <font>
      <sz val="10.0"/>
      <color rgb="FF1F2937"/>
      <name val="Bai Jamjuree"/>
    </font>
    <font>
      <sz val="10.0"/>
      <color rgb="FF1F2937"/>
      <name val="Aptos"/>
    </font>
    <font>
      <sz val="9.0"/>
      <color rgb="FF1F2937"/>
      <name val="Bai Jamjuree"/>
    </font>
    <font>
      <sz val="9.0"/>
      <color rgb="FF1F2937"/>
      <name val="Aptos"/>
    </font>
    <font>
      <b/>
      <sz val="12.0"/>
      <color rgb="FFFFFFFF"/>
      <name val="Aptos"/>
    </font>
    <font>
      <b/>
      <sz val="10.0"/>
      <color rgb="FFFFFFFF"/>
      <name val="Aptos"/>
    </font>
    <font>
      <b/>
      <sz val="10.0"/>
      <color rgb="FF1F2937"/>
      <name val="Aptos"/>
    </font>
    <font>
      <sz val="10.0"/>
      <color rgb="FF1F2937"/>
      <name val="Arial"/>
    </font>
    <font>
      <sz val="11.0"/>
      <color theme="1"/>
      <name val="Carlito"/>
    </font>
    <font>
      <b/>
      <sz val="18.0"/>
      <color rgb="FFFFFFFF"/>
      <name val="Play"/>
    </font>
    <font>
      <sz val="11.0"/>
      <color rgb="FF344054"/>
      <name val="Aptos"/>
    </font>
    <font>
      <b/>
      <sz val="11.0"/>
      <color rgb="FF344054"/>
      <name val="Aptos"/>
    </font>
    <font>
      <b/>
      <sz val="11.0"/>
      <color theme="1"/>
      <name val="Carlito"/>
    </font>
  </fonts>
  <fills count="28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EEF2F7"/>
        <bgColor rgb="FFEEF2F7"/>
      </patternFill>
    </fill>
    <fill>
      <patternFill patternType="solid">
        <fgColor rgb="FFF9FAFB"/>
        <bgColor rgb="FFF9FAFB"/>
      </patternFill>
    </fill>
    <fill>
      <patternFill patternType="solid">
        <fgColor rgb="FF735C0F"/>
        <bgColor rgb="FF735C0F"/>
      </patternFill>
    </fill>
    <fill>
      <patternFill patternType="solid">
        <fgColor rgb="FFFFFBEB"/>
        <bgColor rgb="FFFFFBEB"/>
      </patternFill>
    </fill>
    <fill>
      <patternFill patternType="solid">
        <fgColor rgb="FFC41230"/>
        <bgColor rgb="FFC41230"/>
      </patternFill>
    </fill>
    <fill>
      <patternFill patternType="solid">
        <fgColor rgb="FFEAF0F7"/>
        <bgColor rgb="FFEAF0F7"/>
      </patternFill>
    </fill>
    <fill>
      <patternFill patternType="solid">
        <fgColor rgb="FFE8F5E9"/>
        <bgColor rgb="FFE8F5E9"/>
      </patternFill>
    </fill>
    <fill>
      <patternFill patternType="solid">
        <fgColor rgb="FFFDECEE"/>
        <bgColor rgb="FFFDECEE"/>
      </patternFill>
    </fill>
    <fill>
      <patternFill patternType="solid">
        <fgColor rgb="FFFFF3E6"/>
        <bgColor rgb="FFFFF3E6"/>
      </patternFill>
    </fill>
    <fill>
      <patternFill patternType="solid">
        <fgColor rgb="FFF2EAFE"/>
        <bgColor rgb="FFF2EAFE"/>
      </patternFill>
    </fill>
    <fill>
      <patternFill patternType="solid">
        <fgColor rgb="FFEAF4FF"/>
        <bgColor rgb="FFEAF4FF"/>
      </patternFill>
    </fill>
    <fill>
      <patternFill patternType="solid">
        <fgColor rgb="FFFFF7E0"/>
        <bgColor rgb="FFFFF7E0"/>
      </patternFill>
    </fill>
    <fill>
      <patternFill patternType="solid">
        <fgColor rgb="FFF2F4F7"/>
        <bgColor rgb="FFF2F4F7"/>
      </patternFill>
    </fill>
    <fill>
      <patternFill patternType="solid">
        <fgColor rgb="FFFFEFF6"/>
        <bgColor rgb="FFFFEFF6"/>
      </patternFill>
    </fill>
    <fill>
      <patternFill patternType="solid">
        <fgColor rgb="FFE6F4F1"/>
        <bgColor rgb="FFE6F4F1"/>
      </patternFill>
    </fill>
    <fill>
      <patternFill patternType="solid">
        <fgColor rgb="FFFFFFFF"/>
        <bgColor rgb="FFFFFFFF"/>
      </patternFill>
    </fill>
    <fill>
      <patternFill patternType="solid">
        <fgColor rgb="FF344054"/>
        <bgColor rgb="FF344054"/>
      </patternFill>
    </fill>
    <fill>
      <patternFill patternType="solid">
        <fgColor rgb="FF0F766E"/>
        <bgColor rgb="FF0F766E"/>
      </patternFill>
    </fill>
    <fill>
      <patternFill patternType="solid">
        <fgColor rgb="FF1D4ED8"/>
        <bgColor rgb="FF1D4ED8"/>
      </patternFill>
    </fill>
    <fill>
      <patternFill patternType="solid">
        <fgColor rgb="FF7C2D12"/>
        <bgColor rgb="FF7C2D12"/>
      </patternFill>
    </fill>
    <fill>
      <patternFill patternType="solid">
        <fgColor rgb="FFFFFCF5"/>
        <bgColor rgb="FFFFFCF5"/>
      </patternFill>
    </fill>
    <fill>
      <patternFill patternType="solid">
        <fgColor rgb="FFF8FAFC"/>
        <bgColor rgb="FFF8FAFC"/>
      </patternFill>
    </fill>
    <fill>
      <patternFill patternType="solid">
        <fgColor rgb="FFE5E7EB"/>
        <bgColor rgb="FFE5E7EB"/>
      </patternFill>
    </fill>
    <fill>
      <patternFill patternType="solid">
        <fgColor rgb="FF1F2937"/>
        <bgColor rgb="FF1F2937"/>
      </patternFill>
    </fill>
    <fill>
      <patternFill patternType="solid">
        <fgColor rgb="FFF3F4F6"/>
        <bgColor rgb="FFF3F4F6"/>
      </patternFill>
    </fill>
  </fills>
  <borders count="13">
    <border/>
    <border>
      <left/>
      <right/>
      <top/>
      <bottom/>
    </border>
    <border>
      <left/>
      <right/>
      <top/>
    </border>
    <border>
      <left/>
      <right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top/>
      <bottom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3" fontId="2" numFmtId="0" xfId="0" applyAlignment="1" applyFill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0" fillId="7" fontId="6" numFmtId="0" xfId="0" applyAlignment="1" applyFill="1" applyFont="1">
      <alignment horizontal="center" shrinkToFit="0" vertical="center" wrapText="1"/>
    </xf>
    <xf borderId="1" fillId="4" fontId="4" numFmtId="164" xfId="0" applyAlignment="1" applyBorder="1" applyFont="1" applyNumberFormat="1">
      <alignment horizontal="left" readingOrder="0" shrinkToFit="0" vertical="center" wrapText="1"/>
    </xf>
    <xf borderId="1" fillId="4" fontId="4" numFmtId="165" xfId="0" applyAlignment="1" applyBorder="1" applyFont="1" applyNumberFormat="1">
      <alignment horizontal="left" shrinkToFit="0" vertical="center" wrapText="1"/>
    </xf>
    <xf borderId="1" fillId="6" fontId="5" numFmtId="2" xfId="0" applyAlignment="1" applyBorder="1" applyFont="1" applyNumberFormat="1">
      <alignment horizontal="center" shrinkToFit="0" vertical="center" wrapText="1"/>
    </xf>
    <xf borderId="2" fillId="8" fontId="7" numFmtId="0" xfId="0" applyAlignment="1" applyBorder="1" applyFill="1" applyFont="1">
      <alignment horizontal="center" shrinkToFit="0" vertical="center" wrapText="1"/>
    </xf>
    <xf borderId="2" fillId="9" fontId="8" numFmtId="0" xfId="0" applyAlignment="1" applyBorder="1" applyFill="1" applyFont="1">
      <alignment horizontal="center" shrinkToFit="0" vertical="center" wrapText="1"/>
    </xf>
    <xf borderId="2" fillId="10" fontId="8" numFmtId="0" xfId="0" applyAlignment="1" applyBorder="1" applyFill="1" applyFont="1">
      <alignment horizontal="center" shrinkToFit="0" vertical="center" wrapText="1"/>
    </xf>
    <xf borderId="2" fillId="11" fontId="8" numFmtId="0" xfId="0" applyAlignment="1" applyBorder="1" applyFill="1" applyFont="1">
      <alignment horizontal="center" shrinkToFit="0" vertical="center" wrapText="1"/>
    </xf>
    <xf borderId="2" fillId="12" fontId="8" numFmtId="0" xfId="0" applyAlignment="1" applyBorder="1" applyFill="1" applyFont="1">
      <alignment horizontal="center" shrinkToFit="0" vertical="center" wrapText="1"/>
    </xf>
    <xf borderId="2" fillId="13" fontId="8" numFmtId="0" xfId="0" applyAlignment="1" applyBorder="1" applyFill="1" applyFont="1">
      <alignment horizontal="center" shrinkToFit="0" vertical="center" wrapText="1"/>
    </xf>
    <xf borderId="2" fillId="14" fontId="8" numFmtId="0" xfId="0" applyAlignment="1" applyBorder="1" applyFill="1" applyFont="1">
      <alignment horizontal="center" shrinkToFit="0" vertical="center" wrapText="1"/>
    </xf>
    <xf borderId="2" fillId="15" fontId="8" numFmtId="0" xfId="0" applyAlignment="1" applyBorder="1" applyFill="1" applyFont="1">
      <alignment horizontal="center" shrinkToFit="0" vertical="center" wrapText="1"/>
    </xf>
    <xf borderId="2" fillId="16" fontId="8" numFmtId="0" xfId="0" applyAlignment="1" applyBorder="1" applyFill="1" applyFont="1">
      <alignment horizontal="center" shrinkToFit="0" vertical="center" wrapText="1"/>
    </xf>
    <xf borderId="2" fillId="17" fontId="8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ont="1">
      <alignment horizontal="left" readingOrder="0" shrinkToFit="0" vertical="center" wrapText="1"/>
    </xf>
    <xf borderId="3" fillId="8" fontId="7" numFmtId="0" xfId="0" applyAlignment="1" applyBorder="1" applyFont="1">
      <alignment horizontal="center" shrinkToFit="0" vertical="center" wrapText="1"/>
    </xf>
    <xf borderId="3" fillId="9" fontId="8" numFmtId="0" xfId="0" applyAlignment="1" applyBorder="1" applyFont="1">
      <alignment horizontal="center" shrinkToFit="0" vertical="center" wrapText="1"/>
    </xf>
    <xf borderId="3" fillId="10" fontId="8" numFmtId="0" xfId="0" applyAlignment="1" applyBorder="1" applyFont="1">
      <alignment horizontal="center" shrinkToFit="0" vertical="center" wrapText="1"/>
    </xf>
    <xf borderId="3" fillId="11" fontId="8" numFmtId="0" xfId="0" applyAlignment="1" applyBorder="1" applyFont="1">
      <alignment horizontal="center" shrinkToFit="0" vertical="center" wrapText="1"/>
    </xf>
    <xf borderId="3" fillId="12" fontId="8" numFmtId="0" xfId="0" applyAlignment="1" applyBorder="1" applyFont="1">
      <alignment horizontal="center" shrinkToFit="0" vertical="center" wrapText="1"/>
    </xf>
    <xf borderId="3" fillId="13" fontId="8" numFmtId="0" xfId="0" applyAlignment="1" applyBorder="1" applyFont="1">
      <alignment horizontal="center" shrinkToFit="0" vertical="center" wrapText="1"/>
    </xf>
    <xf borderId="3" fillId="14" fontId="8" numFmtId="0" xfId="0" applyAlignment="1" applyBorder="1" applyFont="1">
      <alignment horizontal="center" shrinkToFit="0" vertical="center" wrapText="1"/>
    </xf>
    <xf borderId="3" fillId="15" fontId="8" numFmtId="0" xfId="0" applyAlignment="1" applyBorder="1" applyFont="1">
      <alignment horizontal="center" shrinkToFit="0" vertical="center" wrapText="1"/>
    </xf>
    <xf borderId="3" fillId="16" fontId="8" numFmtId="0" xfId="0" applyAlignment="1" applyBorder="1" applyFont="1">
      <alignment horizontal="center" shrinkToFit="0" vertical="center" wrapText="1"/>
    </xf>
    <xf borderId="3" fillId="17" fontId="8" numFmtId="0" xfId="0" applyAlignment="1" applyBorder="1" applyFont="1">
      <alignment horizontal="center" shrinkToFit="0" vertical="center" wrapText="1"/>
    </xf>
    <xf borderId="1" fillId="6" fontId="5" numFmtId="166" xfId="0" applyAlignment="1" applyBorder="1" applyFont="1" applyNumberFormat="1">
      <alignment horizontal="center" shrinkToFit="0" vertical="center" wrapText="1"/>
    </xf>
    <xf borderId="4" fillId="18" fontId="2" numFmtId="0" xfId="0" applyAlignment="1" applyBorder="1" applyFill="1" applyFont="1">
      <alignment horizontal="left" shrinkToFit="0" vertical="center" wrapText="1"/>
    </xf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0" fillId="18" fontId="11" numFmtId="0" xfId="0" applyAlignment="1" applyFont="1">
      <alignment shrinkToFit="0" vertical="center" wrapText="1"/>
    </xf>
    <xf borderId="0" fillId="18" fontId="12" numFmtId="0" xfId="0" applyAlignment="1" applyFont="1">
      <alignment shrinkToFit="0" vertical="center" wrapText="1"/>
    </xf>
    <xf borderId="10" fillId="2" fontId="3" numFmtId="0" xfId="0" applyAlignment="1" applyBorder="1" applyFont="1">
      <alignment horizontal="center" shrinkToFit="0" vertical="center" wrapText="1"/>
    </xf>
    <xf borderId="10" fillId="7" fontId="3" numFmtId="0" xfId="0" applyAlignment="1" applyBorder="1" applyFont="1">
      <alignment horizontal="center" shrinkToFit="0" vertical="center" wrapText="1"/>
    </xf>
    <xf borderId="10" fillId="19" fontId="3" numFmtId="0" xfId="0" applyAlignment="1" applyBorder="1" applyFill="1" applyFont="1">
      <alignment horizontal="center" shrinkToFit="0" vertical="center" wrapText="1"/>
    </xf>
    <xf borderId="10" fillId="5" fontId="3" numFmtId="0" xfId="0" applyAlignment="1" applyBorder="1" applyFont="1">
      <alignment horizontal="center" shrinkToFit="0" vertical="center" wrapText="1"/>
    </xf>
    <xf borderId="10" fillId="20" fontId="3" numFmtId="0" xfId="0" applyAlignment="1" applyBorder="1" applyFill="1" applyFont="1">
      <alignment horizontal="center" shrinkToFit="0" vertical="center" wrapText="1"/>
    </xf>
    <xf borderId="10" fillId="21" fontId="3" numFmtId="0" xfId="0" applyAlignment="1" applyBorder="1" applyFill="1" applyFont="1">
      <alignment horizontal="center" shrinkToFit="0" vertical="center" wrapText="1"/>
    </xf>
    <xf borderId="10" fillId="22" fontId="3" numFmtId="0" xfId="0" applyAlignment="1" applyBorder="1" applyFill="1" applyFont="1">
      <alignment horizontal="center" shrinkToFit="0" vertical="center" wrapText="1"/>
    </xf>
    <xf borderId="1" fillId="18" fontId="13" numFmtId="0" xfId="0" applyAlignment="1" applyBorder="1" applyFont="1">
      <alignment horizontal="center" shrinkToFit="0" vertical="top" wrapText="1"/>
    </xf>
    <xf borderId="1" fillId="23" fontId="13" numFmtId="165" xfId="0" applyAlignment="1" applyBorder="1" applyFill="1" applyFont="1" applyNumberFormat="1">
      <alignment horizontal="center" shrinkToFit="0" vertical="top" wrapText="1"/>
    </xf>
    <xf borderId="1" fillId="23" fontId="13" numFmtId="0" xfId="0" applyAlignment="1" applyBorder="1" applyFont="1">
      <alignment horizontal="center" readingOrder="0" shrinkToFit="0" vertical="center" wrapText="1"/>
    </xf>
    <xf borderId="1" fillId="24" fontId="13" numFmtId="0" xfId="0" applyAlignment="1" applyBorder="1" applyFill="1" applyFont="1">
      <alignment horizontal="center" shrinkToFit="0" vertical="center" wrapText="1"/>
    </xf>
    <xf borderId="1" fillId="24" fontId="13" numFmtId="0" xfId="0" applyAlignment="1" applyBorder="1" applyFont="1">
      <alignment horizontal="center" readingOrder="0" shrinkToFit="0" vertical="center" wrapText="1"/>
    </xf>
    <xf borderId="1" fillId="23" fontId="13" numFmtId="166" xfId="0" applyAlignment="1" applyBorder="1" applyFont="1" applyNumberFormat="1">
      <alignment horizontal="center" shrinkToFit="0" vertical="center" wrapText="1"/>
    </xf>
    <xf borderId="1" fillId="24" fontId="13" numFmtId="1" xfId="0" applyAlignment="1" applyBorder="1" applyFont="1" applyNumberFormat="1">
      <alignment horizontal="center" shrinkToFit="0" vertical="center" wrapText="1"/>
    </xf>
    <xf borderId="1" fillId="23" fontId="13" numFmtId="0" xfId="0" applyAlignment="1" applyBorder="1" applyFont="1">
      <alignment horizontal="center" shrinkToFit="0" vertical="center" wrapText="1"/>
    </xf>
    <xf borderId="1" fillId="24" fontId="13" numFmtId="0" xfId="0" applyAlignment="1" applyBorder="1" applyFont="1">
      <alignment shrinkToFit="0" vertical="top" wrapText="1"/>
    </xf>
    <xf borderId="1" fillId="23" fontId="13" numFmtId="0" xfId="0" applyAlignment="1" applyBorder="1" applyFont="1">
      <alignment shrinkToFit="0" vertical="top" wrapText="1"/>
    </xf>
    <xf borderId="1" fillId="18" fontId="14" numFmtId="0" xfId="0" applyAlignment="1" applyBorder="1" applyFont="1">
      <alignment horizontal="center" shrinkToFit="0" vertical="top" wrapText="1"/>
    </xf>
    <xf borderId="1" fillId="23" fontId="14" numFmtId="165" xfId="0" applyAlignment="1" applyBorder="1" applyFont="1" applyNumberFormat="1">
      <alignment shrinkToFit="0" vertical="top" wrapText="1"/>
    </xf>
    <xf borderId="1" fillId="23" fontId="14" numFmtId="0" xfId="0" applyAlignment="1" applyBorder="1" applyFont="1">
      <alignment shrinkToFit="0" vertical="top" wrapText="1"/>
    </xf>
    <xf borderId="1" fillId="24" fontId="14" numFmtId="0" xfId="0" applyAlignment="1" applyBorder="1" applyFont="1">
      <alignment shrinkToFit="0" vertical="top" wrapText="1"/>
    </xf>
    <xf borderId="1" fillId="23" fontId="14" numFmtId="166" xfId="0" applyAlignment="1" applyBorder="1" applyFont="1" applyNumberFormat="1">
      <alignment shrinkToFit="0" vertical="top" wrapText="1"/>
    </xf>
    <xf borderId="1" fillId="24" fontId="14" numFmtId="1" xfId="0" applyAlignment="1" applyBorder="1" applyFont="1" applyNumberFormat="1">
      <alignment horizontal="center" shrinkToFit="0" vertical="top" wrapText="1"/>
    </xf>
    <xf borderId="1" fillId="18" fontId="14" numFmtId="0" xfId="0" applyAlignment="1" applyBorder="1" applyFont="1">
      <alignment horizontal="center" shrinkToFit="0" vertical="top" wrapText="1"/>
    </xf>
    <xf borderId="1" fillId="23" fontId="14" numFmtId="165" xfId="0" applyAlignment="1" applyBorder="1" applyFont="1" applyNumberFormat="1">
      <alignment shrinkToFit="0" vertical="top" wrapText="1"/>
    </xf>
    <xf borderId="1" fillId="23" fontId="14" numFmtId="0" xfId="0" applyAlignment="1" applyBorder="1" applyFont="1">
      <alignment shrinkToFit="0" vertical="top" wrapText="1"/>
    </xf>
    <xf borderId="1" fillId="24" fontId="14" numFmtId="0" xfId="0" applyAlignment="1" applyBorder="1" applyFont="1">
      <alignment shrinkToFit="0" vertical="top" wrapText="1"/>
    </xf>
    <xf borderId="1" fillId="23" fontId="14" numFmtId="166" xfId="0" applyAlignment="1" applyBorder="1" applyFont="1" applyNumberFormat="1">
      <alignment shrinkToFit="0" vertical="top" wrapText="1"/>
    </xf>
    <xf borderId="1" fillId="24" fontId="14" numFmtId="0" xfId="0" applyAlignment="1" applyBorder="1" applyFont="1">
      <alignment horizontal="center" shrinkToFit="0" vertical="top" wrapText="1"/>
    </xf>
    <xf borderId="8" fillId="2" fontId="15" numFmtId="0" xfId="0" applyAlignment="1" applyBorder="1" applyFont="1">
      <alignment horizontal="left" shrinkToFit="0" vertical="top" wrapText="1"/>
    </xf>
    <xf borderId="11" fillId="7" fontId="16" numFmtId="0" xfId="0" applyAlignment="1" applyBorder="1" applyFont="1">
      <alignment horizontal="center" shrinkToFit="0" vertical="top" wrapText="1"/>
    </xf>
    <xf borderId="1" fillId="7" fontId="16" numFmtId="0" xfId="0" applyAlignment="1" applyBorder="1" applyFont="1">
      <alignment horizontal="center" shrinkToFit="0" vertical="top" wrapText="1"/>
    </xf>
    <xf borderId="1" fillId="7" fontId="16" numFmtId="0" xfId="0" applyAlignment="1" applyBorder="1" applyFont="1">
      <alignment horizontal="center" shrinkToFit="0" vertical="top" wrapText="1"/>
    </xf>
    <xf borderId="12" fillId="7" fontId="16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10" fillId="2" fontId="15" numFmtId="0" xfId="0" applyAlignment="1" applyBorder="1" applyFont="1">
      <alignment horizontal="left" shrinkToFit="0" vertical="top" wrapText="1"/>
    </xf>
    <xf borderId="10" fillId="0" fontId="10" numFmtId="0" xfId="0" applyBorder="1" applyFont="1"/>
    <xf borderId="11" fillId="0" fontId="10" numFmtId="0" xfId="0" applyBorder="1" applyFont="1"/>
    <xf borderId="11" fillId="7" fontId="16" numFmtId="0" xfId="0" applyAlignment="1" applyBorder="1" applyFont="1">
      <alignment horizontal="center" shrinkToFit="0" vertical="top" wrapText="1"/>
    </xf>
    <xf borderId="11" fillId="25" fontId="17" numFmtId="0" xfId="0" applyAlignment="1" applyBorder="1" applyFill="1" applyFont="1">
      <alignment horizontal="center" shrinkToFit="0" vertical="top" wrapText="1"/>
    </xf>
    <xf borderId="1" fillId="25" fontId="17" numFmtId="0" xfId="0" applyAlignment="1" applyBorder="1" applyFont="1">
      <alignment horizontal="center" shrinkToFit="0" vertical="top" wrapText="1"/>
    </xf>
    <xf borderId="0" fillId="0" fontId="18" numFmtId="0" xfId="0" applyAlignment="1" applyFont="1">
      <alignment readingOrder="0" shrinkToFit="0" vertical="top" wrapText="1"/>
    </xf>
    <xf borderId="11" fillId="2" fontId="15" numFmtId="0" xfId="0" applyAlignment="1" applyBorder="1" applyFont="1">
      <alignment horizontal="left" shrinkToFit="0" vertical="top" wrapText="1"/>
    </xf>
    <xf borderId="1" fillId="2" fontId="15" numFmtId="0" xfId="0" applyAlignment="1" applyBorder="1" applyFont="1">
      <alignment horizontal="left" shrinkToFit="0" vertical="top" wrapText="1"/>
    </xf>
    <xf borderId="12" fillId="2" fontId="15" numFmtId="0" xfId="0" applyAlignment="1" applyBorder="1" applyFont="1">
      <alignment horizontal="left" shrinkToFit="0" vertical="top" wrapText="1"/>
    </xf>
    <xf borderId="11" fillId="26" fontId="17" numFmtId="0" xfId="0" applyAlignment="1" applyBorder="1" applyFill="1" applyFont="1">
      <alignment shrinkToFit="0" vertical="top" wrapText="1"/>
    </xf>
    <xf borderId="12" fillId="25" fontId="17" numFmtId="0" xfId="0" applyAlignment="1" applyBorder="1" applyFont="1">
      <alignment horizontal="center" shrinkToFit="0" vertical="top" wrapText="1"/>
    </xf>
    <xf borderId="1" fillId="2" fontId="15" numFmtId="0" xfId="0" applyAlignment="1" applyBorder="1" applyFont="1">
      <alignment horizontal="left" shrinkToFit="0" vertical="top" wrapText="1"/>
    </xf>
    <xf borderId="12" fillId="2" fontId="15" numFmtId="0" xfId="0" applyAlignment="1" applyBorder="1" applyFont="1">
      <alignment horizontal="left" shrinkToFit="0" vertical="top" wrapText="1"/>
    </xf>
    <xf borderId="12" fillId="7" fontId="16" numFmtId="0" xfId="0" applyAlignment="1" applyBorder="1" applyFont="1">
      <alignment horizontal="center" shrinkToFit="0" vertical="top" wrapText="1"/>
    </xf>
    <xf borderId="0" fillId="0" fontId="19" numFmtId="0" xfId="0" applyAlignment="1" applyFont="1">
      <alignment shrinkToFit="0" wrapText="1"/>
    </xf>
    <xf borderId="0" fillId="2" fontId="20" numFmtId="0" xfId="0" applyAlignment="1" applyFont="1">
      <alignment horizontal="left"/>
    </xf>
    <xf borderId="1" fillId="4" fontId="21" numFmtId="0" xfId="0" applyAlignment="1" applyBorder="1" applyFont="1">
      <alignment shrinkToFit="0" wrapText="1"/>
    </xf>
    <xf borderId="1" fillId="4" fontId="22" numFmtId="0" xfId="0" applyAlignment="1" applyBorder="1" applyFont="1">
      <alignment horizontal="center" shrinkToFit="0" wrapText="1"/>
    </xf>
    <xf borderId="0" fillId="27" fontId="23" numFmtId="0" xfId="0" applyAlignment="1" applyFill="1" applyFont="1">
      <alignment horizontal="center"/>
    </xf>
  </cellXfs>
  <cellStyles count="1">
    <cellStyle xfId="0" name="Normal" builtinId="0"/>
  </cellStyles>
  <dxfs count="22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EAF0F7"/>
          <bgColor rgb="FFEAF0F7"/>
        </patternFill>
      </fill>
      <border/>
    </dxf>
    <dxf>
      <font/>
      <fill>
        <patternFill patternType="solid">
          <fgColor rgb="FFE8F5E9"/>
          <bgColor rgb="FFE8F5E9"/>
        </patternFill>
      </fill>
      <border/>
    </dxf>
    <dxf>
      <font/>
      <fill>
        <patternFill patternType="solid">
          <fgColor rgb="FFFDECEE"/>
          <bgColor rgb="FFFDECEE"/>
        </patternFill>
      </fill>
      <border/>
    </dxf>
    <dxf>
      <font/>
      <fill>
        <patternFill patternType="solid">
          <fgColor rgb="FFFFF3E6"/>
          <bgColor rgb="FFFFF3E6"/>
        </patternFill>
      </fill>
      <border/>
    </dxf>
    <dxf>
      <font/>
      <fill>
        <patternFill patternType="solid">
          <fgColor rgb="FFF2EAFE"/>
          <bgColor rgb="FFF2EAFE"/>
        </patternFill>
      </fill>
      <border/>
    </dxf>
    <dxf>
      <font/>
      <fill>
        <patternFill patternType="solid">
          <fgColor rgb="FFEAF4FF"/>
          <bgColor rgb="FFEAF4FF"/>
        </patternFill>
      </fill>
      <border/>
    </dxf>
    <dxf>
      <font/>
      <fill>
        <patternFill patternType="solid">
          <fgColor rgb="FFFFF7E0"/>
          <bgColor rgb="FFFFF7E0"/>
        </patternFill>
      </fill>
      <border/>
    </dxf>
    <dxf>
      <font/>
      <fill>
        <patternFill patternType="solid">
          <fgColor rgb="FFF2F4F7"/>
          <bgColor rgb="FFF2F4F7"/>
        </patternFill>
      </fill>
      <border/>
    </dxf>
    <dxf>
      <font/>
      <fill>
        <patternFill patternType="solid">
          <fgColor rgb="FFFFEFF6"/>
          <bgColor rgb="FFFFEFF6"/>
        </patternFill>
      </fill>
      <border/>
    </dxf>
    <dxf>
      <font/>
      <fill>
        <patternFill patternType="solid">
          <fgColor rgb="FFE6F4F1"/>
          <bgColor rgb="FFE6F4F1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854D0E"/>
      </font>
      <fill>
        <patternFill patternType="solid">
          <fgColor rgb="FFFEF9C3"/>
          <bgColor rgb="FFFEF9C3"/>
        </patternFill>
      </fill>
      <border/>
    </dxf>
    <dxf>
      <font>
        <b/>
        <color rgb="FF3730A3"/>
      </font>
      <fill>
        <patternFill patternType="solid">
          <fgColor rgb="FFE0E7FF"/>
          <bgColor rgb="FFE0E7FF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374151"/>
      </font>
      <fill>
        <patternFill patternType="solid">
          <fgColor rgb="FFF3F4F6"/>
          <bgColor rgb="FFF3F4F6"/>
        </patternFill>
      </fill>
      <border/>
    </dxf>
  </dxfs>
  <tableStyles count="7">
    <tableStyle count="3" pivot="0" name="Agenda Planner-style">
      <tableStyleElement dxfId="1" type="headerRow"/>
      <tableStyleElement dxfId="2" type="firstRowStripe"/>
      <tableStyleElement dxfId="3" type="secondRowStripe"/>
    </tableStyle>
    <tableStyle count="3" pivot="0" name="Data-style">
      <tableStyleElement dxfId="1" type="headerRow"/>
      <tableStyleElement dxfId="2" type="firstRowStripe"/>
      <tableStyleElement dxfId="3" type="secondRowStripe"/>
    </tableStyle>
    <tableStyle count="3" pivot="0" name="Data-style 2">
      <tableStyleElement dxfId="1" type="headerRow"/>
      <tableStyleElement dxfId="2" type="firstRowStripe"/>
      <tableStyleElement dxfId="3" type="secondRowStripe"/>
    </tableStyle>
    <tableStyle count="3" pivot="0" name="Data-style 3">
      <tableStyleElement dxfId="1" type="headerRow"/>
      <tableStyleElement dxfId="2" type="firstRowStripe"/>
      <tableStyleElement dxfId="3" type="secondRowStripe"/>
    </tableStyle>
    <tableStyle count="3" pivot="0" name="Data-style 4">
      <tableStyleElement dxfId="1" type="headerRow"/>
      <tableStyleElement dxfId="2" type="firstRowStripe"/>
      <tableStyleElement dxfId="3" type="secondRowStripe"/>
    </tableStyle>
    <tableStyle count="3" pivot="0" name="Data-style 5">
      <tableStyleElement dxfId="1" type="headerRow"/>
      <tableStyleElement dxfId="2" type="firstRowStripe"/>
      <tableStyleElement dxfId="3" type="secondRowStripe"/>
    </tableStyle>
    <tableStyle count="3" pivot="0" name="Data-style 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P80" displayName="Table_1" name="Table_1" id="1">
  <tableColumns count="16">
    <tableColumn name="ลำดับ" id="1"/>
    <tableColumn name="วันที่" id="2"/>
    <tableColumn name="หัวข้อ" id="3"/>
    <tableColumn name="หมวด" id="4"/>
    <tableColumn name="รูปแบบ" id="5"/>
    <tableColumn name="เริ่ม" id="6"/>
    <tableColumn name="จบ" id="7"/>
    <tableColumn name="นาที" id="8"/>
    <tableColumn name="วิทยากร" id="9"/>
    <tableColumn name="สถานะ" id="10"/>
    <tableColumn name="Detail อัตโนมัติ" id="11"/>
    <tableColumn name="จุดประสงค์ย่อย / สิ่งที่ต้องสื่อ" id="12"/>
    <tableColumn name="ผลลัพธ์ที่อยากได้กลับมา" id="13"/>
    <tableColumn name="เหมาะกับกลุ่ม" id="14"/>
    <tableColumn name="หมายเหตุทีม" id="15"/>
    <tableColumn name="Owner / Follow-up" id="16"/>
  </tableColumns>
  <tableStyleInfo name="Agenda Planner-style" showColumnStripes="0" showFirstColumn="1" showLastColumn="1" showRowStripes="1"/>
</table>
</file>

<file path=xl/tables/table2.xml><?xml version="1.0" encoding="utf-8"?>
<table xmlns="http://schemas.openxmlformats.org/spreadsheetml/2006/main" ref="A2:B10" displayName="Table_2" name="Table_2" id="2">
  <tableColumns count="2">
    <tableColumn name="กลุ่มเป้าหมาย" id="1"/>
    <tableColumn name="รายละเอียด" id="2"/>
  </tableColumns>
  <tableStyleInfo name="Data-style" showColumnStripes="0" showFirstColumn="1" showLastColumn="1" showRowStripes="1"/>
</table>
</file>

<file path=xl/tables/table3.xml><?xml version="1.0" encoding="utf-8"?>
<table xmlns="http://schemas.openxmlformats.org/spreadsheetml/2006/main" ref="A14:B23" displayName="Table_3" name="Table_3" id="3">
  <tableColumns count="2">
    <tableColumn name="จุดประสงค์หลัก" id="1"/>
    <tableColumn name="รายละเอียด" id="2"/>
  </tableColumns>
  <tableStyleInfo name="Data-style 2" showColumnStripes="0" showFirstColumn="1" showLastColumn="1" showRowStripes="1"/>
</table>
</file>

<file path=xl/tables/table4.xml><?xml version="1.0" encoding="utf-8"?>
<table xmlns="http://schemas.openxmlformats.org/spreadsheetml/2006/main" ref="A27:B41" displayName="Table_4" name="Table_4" id="4">
  <tableColumns count="2">
    <tableColumn name="วิทยากร/เจ้าของช่วง" id="1"/>
    <tableColumn name="บทบาทที่เหมาะสม" id="2"/>
  </tableColumns>
  <tableStyleInfo name="Data-style 3" showColumnStripes="0" showFirstColumn="1" showLastColumn="1" showRowStripes="1"/>
</table>
</file>

<file path=xl/tables/table5.xml><?xml version="1.0" encoding="utf-8"?>
<table xmlns="http://schemas.openxmlformats.org/spreadsheetml/2006/main" ref="A45:A58" displayName="Table_5" name="Table_5" id="5">
  <tableColumns count="1">
    <tableColumn name="รูปแบบ Session" id="1"/>
  </tableColumns>
  <tableStyleInfo name="Data-style 4" showColumnStripes="0" showFirstColumn="1" showLastColumn="1" showRowStripes="1"/>
</table>
</file>

<file path=xl/tables/table6.xml><?xml version="1.0" encoding="utf-8"?>
<table xmlns="http://schemas.openxmlformats.org/spreadsheetml/2006/main" ref="A62:A69" displayName="Table_6" name="Table_6" id="6">
  <tableColumns count="1">
    <tableColumn name="สถานะ" id="1"/>
  </tableColumns>
  <tableStyleInfo name="Data-style 5" showColumnStripes="0" showFirstColumn="1" showLastColumn="1" showRowStripes="1"/>
</table>
</file>

<file path=xl/tables/table7.xml><?xml version="1.0" encoding="utf-8"?>
<table xmlns="http://schemas.openxmlformats.org/spreadsheetml/2006/main" ref="A73:I121" displayName="Table_7" name="Table_7" id="7">
  <tableColumns count="9">
    <tableColumn name="หมวด" id="1"/>
    <tableColumn name="หัวข้อ" id="2"/>
    <tableColumn name="รูปแบบแนะนำ" id="3"/>
    <tableColumn name="เวลาแนะนำ(นาที)" id="4"/>
    <tableColumn name="วิทยากรแนะนำ" id="5"/>
    <tableColumn name="Detail" id="6"/>
    <tableColumn name="จุดประสงค์ย่อย / สิ่งที่ต้องสื่อ" id="7"/>
    <tableColumn name="ผลลัพธ์ที่อยากได้กลับมา" id="8"/>
    <tableColumn name="เหมาะกับกลุ่ม" id="9"/>
  </tableColumns>
  <tableStyleInfo name="Data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8.63"/>
    <col customWidth="1" min="3" max="3" width="28.0"/>
    <col customWidth="1" min="4" max="5" width="18.0"/>
    <col customWidth="1" min="6" max="7" width="10.0"/>
    <col customWidth="1" min="8" max="8" width="8.0"/>
    <col customWidth="1" min="9" max="9" width="18.0"/>
    <col customWidth="1" min="10" max="10" width="14.0"/>
    <col customWidth="1" min="11" max="13" width="38.0"/>
    <col customWidth="1" min="14" max="14" width="20.0"/>
    <col customWidth="1" min="15" max="15" width="30.0"/>
    <col customWidth="1" min="16" max="16" width="24.0"/>
    <col customWidth="1" min="17" max="26" width="8.63"/>
  </cols>
  <sheetData>
    <row r="1" ht="33.75" customHeight="1">
      <c r="A1" s="1" t="s">
        <v>0</v>
      </c>
    </row>
    <row r="2" ht="24.0" customHeight="1">
      <c r="A2" s="2" t="s">
        <v>1</v>
      </c>
    </row>
    <row r="3" ht="30.0" customHeight="1">
      <c r="A3" s="3" t="s">
        <v>2</v>
      </c>
      <c r="B3" s="4" t="s">
        <v>3</v>
      </c>
      <c r="C3" s="4"/>
      <c r="D3" s="5" t="s">
        <v>4</v>
      </c>
      <c r="E3" s="6">
        <f>COUNTA(C11:C80)</f>
        <v>15</v>
      </c>
      <c r="F3" s="6"/>
      <c r="G3" s="7" t="s">
        <v>5</v>
      </c>
    </row>
    <row r="4" ht="30.0" customHeight="1">
      <c r="A4" s="3" t="s">
        <v>6</v>
      </c>
      <c r="B4" s="8">
        <v>46272.0</v>
      </c>
      <c r="C4" s="9"/>
      <c r="D4" s="5" t="s">
        <v>7</v>
      </c>
      <c r="E4" s="10">
        <f>SUM(H11:H80)</f>
        <v>475</v>
      </c>
      <c r="F4" s="6"/>
      <c r="G4" s="11" t="s">
        <v>8</v>
      </c>
      <c r="H4" s="12" t="s">
        <v>9</v>
      </c>
      <c r="I4" s="13" t="s">
        <v>10</v>
      </c>
      <c r="J4" s="14" t="s">
        <v>11</v>
      </c>
      <c r="K4" s="15" t="s">
        <v>12</v>
      </c>
      <c r="L4" s="16" t="s">
        <v>13</v>
      </c>
      <c r="M4" s="17" t="s">
        <v>14</v>
      </c>
      <c r="N4" s="18" t="s">
        <v>15</v>
      </c>
      <c r="O4" s="19" t="s">
        <v>16</v>
      </c>
      <c r="P4" s="20" t="s">
        <v>17</v>
      </c>
    </row>
    <row r="5" ht="30.0" customHeight="1">
      <c r="A5" s="3" t="s">
        <v>18</v>
      </c>
      <c r="B5" s="21" t="s">
        <v>19</v>
      </c>
      <c r="C5" s="4"/>
      <c r="D5" s="5" t="s">
        <v>20</v>
      </c>
      <c r="E5" s="10">
        <f>IFERROR(E4/60,"")</f>
        <v>7.916666667</v>
      </c>
      <c r="F5" s="6"/>
      <c r="G5" s="22" t="s">
        <v>21</v>
      </c>
      <c r="H5" s="23" t="s">
        <v>22</v>
      </c>
      <c r="I5" s="24" t="s">
        <v>23</v>
      </c>
      <c r="J5" s="25" t="s">
        <v>24</v>
      </c>
      <c r="K5" s="26" t="s">
        <v>25</v>
      </c>
      <c r="L5" s="27" t="s">
        <v>26</v>
      </c>
      <c r="M5" s="28" t="s">
        <v>27</v>
      </c>
      <c r="N5" s="29" t="s">
        <v>28</v>
      </c>
      <c r="O5" s="30" t="s">
        <v>29</v>
      </c>
      <c r="P5" s="31" t="s">
        <v>30</v>
      </c>
    </row>
    <row r="6" ht="30.0" customHeight="1">
      <c r="A6" s="3" t="s">
        <v>31</v>
      </c>
      <c r="B6" s="21" t="s">
        <v>32</v>
      </c>
      <c r="C6" s="4"/>
      <c r="D6" s="5" t="s">
        <v>33</v>
      </c>
      <c r="E6" s="32">
        <f>IFERROR(MIN(F11:F80),"")</f>
        <v>0.375</v>
      </c>
      <c r="F6" s="6"/>
      <c r="G6" s="33" t="s">
        <v>34</v>
      </c>
      <c r="H6" s="34"/>
      <c r="I6" s="34"/>
      <c r="J6" s="34"/>
      <c r="K6" s="34"/>
      <c r="L6" s="34"/>
      <c r="M6" s="34"/>
      <c r="N6" s="34"/>
      <c r="O6" s="34"/>
      <c r="P6" s="35"/>
    </row>
    <row r="7" ht="30.0" customHeight="1">
      <c r="A7" s="3" t="s">
        <v>35</v>
      </c>
      <c r="B7" s="4"/>
      <c r="C7" s="4"/>
      <c r="D7" s="5" t="s">
        <v>36</v>
      </c>
      <c r="E7" s="32">
        <f>IFERROR(MAX(G11:G80),"")</f>
        <v>0.6875</v>
      </c>
      <c r="F7" s="6"/>
      <c r="G7" s="36"/>
      <c r="H7" s="37"/>
      <c r="I7" s="37"/>
      <c r="J7" s="37"/>
      <c r="K7" s="37"/>
      <c r="L7" s="37"/>
      <c r="M7" s="37"/>
      <c r="N7" s="37"/>
      <c r="O7" s="37"/>
      <c r="P7" s="38"/>
    </row>
    <row r="8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</row>
    <row r="9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ht="33.75" customHeight="1">
      <c r="A10" s="41" t="s">
        <v>37</v>
      </c>
      <c r="B10" s="41" t="s">
        <v>38</v>
      </c>
      <c r="C10" s="42" t="s">
        <v>39</v>
      </c>
      <c r="D10" s="43" t="s">
        <v>40</v>
      </c>
      <c r="E10" s="43" t="s">
        <v>41</v>
      </c>
      <c r="F10" s="44" t="s">
        <v>42</v>
      </c>
      <c r="G10" s="44" t="s">
        <v>43</v>
      </c>
      <c r="H10" s="44" t="s">
        <v>44</v>
      </c>
      <c r="I10" s="45" t="s">
        <v>45</v>
      </c>
      <c r="J10" s="45" t="s">
        <v>46</v>
      </c>
      <c r="K10" s="46" t="s">
        <v>47</v>
      </c>
      <c r="L10" s="46" t="s">
        <v>48</v>
      </c>
      <c r="M10" s="46" t="s">
        <v>49</v>
      </c>
      <c r="N10" s="47" t="s">
        <v>50</v>
      </c>
      <c r="O10" s="47" t="s">
        <v>51</v>
      </c>
      <c r="P10" s="47" t="s">
        <v>52</v>
      </c>
    </row>
    <row r="11" ht="54.0" customHeight="1">
      <c r="A11" s="48">
        <f t="shared" ref="A11:A80" si="1">IF(C11="","",ROW()-10)</f>
        <v>1</v>
      </c>
      <c r="B11" s="49">
        <f t="shared" ref="B11:B80" si="2">IF(C11="","",IF($B$4="","",$B$4))</f>
        <v>46272</v>
      </c>
      <c r="C11" s="50" t="s">
        <v>53</v>
      </c>
      <c r="D11" s="51" t="str">
        <f t="array" ref="D11">IFERROR(XLOOKUP(C11,Data!$B$74:$B$122,Data!$A$74:$A$122,""),"")</f>
        <v>Logistics</v>
      </c>
      <c r="E11" s="52" t="s">
        <v>54</v>
      </c>
      <c r="F11" s="53">
        <f>TIME(9,0,0)</f>
        <v>0.375</v>
      </c>
      <c r="G11" s="53">
        <f>TIME(9,30,0)</f>
        <v>0.3958333333</v>
      </c>
      <c r="H11" s="54">
        <f t="shared" ref="H11:H80" si="3">IF(OR(F11="",G11=""),"",ROUND((G11-F11)*1440,0))</f>
        <v>30</v>
      </c>
      <c r="I11" s="50" t="s">
        <v>55</v>
      </c>
      <c r="J11" s="55" t="s">
        <v>56</v>
      </c>
      <c r="K11" s="56" t="str">
        <f t="array" ref="K11">IFERROR(XLOOKUP(C11,Data!$B$74:$B$122,Data!$F$74:$F$122,""),"")</f>
        <v>ลงทะเบียน รับป้ายชื่อ เอกสาร และจัดกลุ่มผู้ร่วมงาน</v>
      </c>
      <c r="L11" s="57" t="str">
        <f t="array" ref="L11">IFERROR(XLOOKUP(C11,Data!$B$74:$B$122,Data!$G$74:$G$122,""),"")</f>
        <v>เริ่มงานเป็นระบบและเก็บข้อมูลผู้เข้าร่วม</v>
      </c>
      <c r="M11" s="57" t="str">
        <f t="array" ref="M11">IFERROR(XLOOKUP(C11,Data!$B$74:$B$122,Data!$H$74:$H$122,""),"")</f>
        <v>รายชื่อผู้เข้าร่วมจริงและกลุ่มเป้าหมาย</v>
      </c>
      <c r="N11" s="56" t="str">
        <f t="array" ref="N11">IFERROR(XLOOKUP(C11,Data!$B$74:$B$122,Data!$I$74:$I$122,""),"")</f>
        <v>Mixed Audience</v>
      </c>
      <c r="O11" s="57" t="s">
        <v>57</v>
      </c>
      <c r="P11" s="57"/>
    </row>
    <row r="12" ht="54.0" customHeight="1">
      <c r="A12" s="48">
        <f t="shared" si="1"/>
        <v>2</v>
      </c>
      <c r="B12" s="49">
        <f t="shared" si="2"/>
        <v>46272</v>
      </c>
      <c r="C12" s="55" t="s">
        <v>58</v>
      </c>
      <c r="D12" s="51" t="str">
        <f t="array" ref="D12">IFERROR(XLOOKUP(C12,Data!$B$74:$B$122,Data!$A$74:$A$122,""),"")</f>
        <v>Corporate Update</v>
      </c>
      <c r="E12" s="51" t="str">
        <f t="array" ref="E12">IFERROR(XLOOKUP(C12,Data!$B$74:$B$122,Data!$C$74:$C$122,""),"")</f>
        <v>Keynote</v>
      </c>
      <c r="F12" s="53">
        <f>TIME(9,30,0)</f>
        <v>0.3958333333</v>
      </c>
      <c r="G12" s="53">
        <f>TIME(9,40,0)</f>
        <v>0.4027777778</v>
      </c>
      <c r="H12" s="54">
        <f t="shared" si="3"/>
        <v>10</v>
      </c>
      <c r="I12" s="55" t="str">
        <f t="array" ref="I12">IFERROR(XLOOKUP(C12,Data!$B$74:$B$122,Data!$E$74:$E$122,""),"")</f>
        <v>Moderator</v>
      </c>
      <c r="J12" s="50" t="s">
        <v>56</v>
      </c>
      <c r="K12" s="56" t="str">
        <f t="array" ref="K12">IFERROR(XLOOKUP(C12,Data!$B$74:$B$122,Data!$F$74:$F$122,""),"")</f>
        <v>เปิดงาน สร้างบรรยากาศ และบอกเป้าหมายของวัน</v>
      </c>
      <c r="L12" s="57" t="str">
        <f t="array" ref="L12">IFERROR(XLOOKUP(C12,Data!$B$74:$B$122,Data!$G$74:$G$122,""),"")</f>
        <v>ให้ทุกคนเข้าใจว่างานนี้ไม่ใช่แค่ฟังอบรม แต่เป็นการร่วมวางทิศทาง</v>
      </c>
      <c r="M12" s="57" t="str">
        <f t="array" ref="M12">IFERROR(XLOOKUP(C12,Data!$B$74:$B$122,Data!$H$74:$H$122,""),"")</f>
        <v>ผู้ร่วมงานพร้อมเข้าสู่เนื้อหาและเข้าใจภาพรวม</v>
      </c>
      <c r="N12" s="56" t="str">
        <f t="array" ref="N12">IFERROR(XLOOKUP(C12,Data!$B$74:$B$122,Data!$I$74:$I$122,""),"")</f>
        <v>Mixed Audience</v>
      </c>
      <c r="O12" s="57" t="s">
        <v>59</v>
      </c>
      <c r="P12" s="57"/>
    </row>
    <row r="13" ht="54.0" customHeight="1">
      <c r="A13" s="48">
        <f t="shared" si="1"/>
        <v>3</v>
      </c>
      <c r="B13" s="49">
        <f t="shared" si="2"/>
        <v>46272</v>
      </c>
      <c r="C13" s="55" t="s">
        <v>60</v>
      </c>
      <c r="D13" s="51" t="str">
        <f t="array" ref="D13">IFERROR(XLOOKUP(C13,Data!$B$74:$B$122,Data!$A$74:$A$122,""),"")</f>
        <v>Corporate Update</v>
      </c>
      <c r="E13" s="51" t="str">
        <f t="array" ref="E13">IFERROR(XLOOKUP(C13,Data!$B$74:$B$122,Data!$C$74:$C$122,""),"")</f>
        <v>Keynote</v>
      </c>
      <c r="F13" s="53">
        <f>TIME(9,40,0)</f>
        <v>0.4027777778</v>
      </c>
      <c r="G13" s="53">
        <f>TIME(10,0,0)</f>
        <v>0.4166666667</v>
      </c>
      <c r="H13" s="54">
        <f t="shared" si="3"/>
        <v>20</v>
      </c>
      <c r="I13" s="55" t="str">
        <f t="array" ref="I13">IFERROR(XLOOKUP(C13,Data!$B$74:$B$122,Data!$E$74:$E$122,""),"")</f>
        <v>CEO</v>
      </c>
      <c r="J13" s="50" t="s">
        <v>56</v>
      </c>
      <c r="K13" s="56" t="str">
        <f t="array" ref="K13">IFERROR(XLOOKUP(C13,Data!$B$74:$B$122,Data!$F$74:$F$122,""),"")</f>
        <v>ผู้บริหารเล่าทิศทาง FTI ช่วงครบรอบ 30 ปี และการเปลี่ยนแปลงปีหน้า</v>
      </c>
      <c r="L13" s="57" t="str">
        <f t="array" ref="L13">IFERROR(XLOOKUP(C13,Data!$B$74:$B$122,Data!$G$74:$G$122,""),"")</f>
        <v>สร้างความเชื่อมั่นว่า FTI ไม่ได้หยุดนิ่งและพร้อมสนับสนุนทุกช่องทาง</v>
      </c>
      <c r="M13" s="57" t="str">
        <f t="array" ref="M13">IFERROR(XLOOKUP(C13,Data!$B$74:$B$122,Data!$H$74:$H$122,""),"")</f>
        <v>ความเชื่อมั่น/คำถามเชิงกลยุทธ์จากสาขาและ VIP</v>
      </c>
      <c r="N13" s="56" t="str">
        <f t="array" ref="N13">IFERROR(XLOOKUP(C13,Data!$B$74:$B$122,Data!$I$74:$I$122,""),"")</f>
        <v>29 สาขา FTI</v>
      </c>
      <c r="O13" s="57" t="s">
        <v>61</v>
      </c>
      <c r="P13" s="57"/>
    </row>
    <row r="14" ht="54.0" customHeight="1">
      <c r="A14" s="48">
        <f t="shared" si="1"/>
        <v>4</v>
      </c>
      <c r="B14" s="49">
        <f t="shared" si="2"/>
        <v>46272</v>
      </c>
      <c r="C14" s="55" t="s">
        <v>62</v>
      </c>
      <c r="D14" s="51" t="str">
        <f t="array" ref="D14">IFERROR(XLOOKUP(C14,Data!$B$74:$B$122,Data!$A$74:$A$122,""),"")</f>
        <v>Membership &amp; Digital</v>
      </c>
      <c r="E14" s="51" t="str">
        <f t="array" ref="E14">IFERROR(XLOOKUP(C14,Data!$B$74:$B$122,Data!$C$74:$C$122,""),"")</f>
        <v>Keynote</v>
      </c>
      <c r="F14" s="53">
        <f>TIME(10,0,0)</f>
        <v>0.4166666667</v>
      </c>
      <c r="G14" s="53">
        <f>TIME(10,20,0)</f>
        <v>0.4305555556</v>
      </c>
      <c r="H14" s="54">
        <f t="shared" si="3"/>
        <v>20</v>
      </c>
      <c r="I14" s="55" t="str">
        <f t="array" ref="I14">IFERROR(XLOOKUP(C14,Data!$B$74:$B$122,Data!$E$74:$E$122,""),"")</f>
        <v>ผู้บริหารฝ่ายการตลาด</v>
      </c>
      <c r="J14" s="50" t="s">
        <v>56</v>
      </c>
      <c r="K14" s="56" t="str">
        <f t="array" ref="K14">IFERROR(XLOOKUP(C14,Data!$B$74:$B$122,Data!$F$74:$F$122,""),"")</f>
        <v>เล่า Roadmap ว่าระบบจะเต็ม 100% ปีหน้า แต่ทยอยเปิด Feature ก่อน</v>
      </c>
      <c r="L14" s="57" t="str">
        <f t="array" ref="L14">IFERROR(XLOOKUP(C14,Data!$B$74:$B$122,Data!$G$74:$G$122,""),"")</f>
        <v>ให้ Dealer/VIP เตรียมวางแผนการซื้อ ไม่ต้องรอถึงปีหน้า</v>
      </c>
      <c r="M14" s="57" t="str">
        <f t="array" ref="M14">IFERROR(XLOOKUP(C14,Data!$B$74:$B$122,Data!$H$74:$H$122,""),"")</f>
        <v>ความพร้อมเข้าร่วม Pilot และคำถามเงื่อนไข</v>
      </c>
      <c r="N14" s="56" t="str">
        <f t="array" ref="N14">IFERROR(XLOOKUP(C14,Data!$B$74:$B$122,Data!$I$74:$I$122,""),"")</f>
        <v>VIP Dealer</v>
      </c>
      <c r="O14" s="57" t="s">
        <v>63</v>
      </c>
      <c r="P14" s="57"/>
    </row>
    <row r="15" ht="54.0" customHeight="1">
      <c r="A15" s="48">
        <f t="shared" si="1"/>
        <v>5</v>
      </c>
      <c r="B15" s="49">
        <f t="shared" si="2"/>
        <v>46272</v>
      </c>
      <c r="C15" s="55" t="s">
        <v>64</v>
      </c>
      <c r="D15" s="51" t="str">
        <f t="array" ref="D15">IFERROR(XLOOKUP(C15,Data!$B$74:$B$122,Data!$A$74:$A$122,""),"")</f>
        <v>Membership &amp; Digital</v>
      </c>
      <c r="E15" s="51" t="str">
        <f t="array" ref="E15">IFERROR(XLOOKUP(C15,Data!$B$74:$B$122,Data!$C$74:$C$122,""),"")</f>
        <v>Demo / Playground</v>
      </c>
      <c r="F15" s="53">
        <f>TIME(10,20,0)</f>
        <v>0.4305555556</v>
      </c>
      <c r="G15" s="53">
        <f>TIME(10,40,0)</f>
        <v>0.4444444444</v>
      </c>
      <c r="H15" s="54">
        <f t="shared" si="3"/>
        <v>20</v>
      </c>
      <c r="I15" s="55" t="str">
        <f t="array" ref="I15">IFERROR(XLOOKUP(C15,Data!$B$74:$B$122,Data!$E$74:$E$122,""),"")</f>
        <v>ทีม Marketing Content</v>
      </c>
      <c r="J15" s="50" t="s">
        <v>56</v>
      </c>
      <c r="K15" s="56" t="str">
        <f t="array" ref="K15">IFERROR(XLOOKUP(C15,Data!$B$74:$B$122,Data!$F$74:$F$122,""),"")</f>
        <v>อัปเดตศูนย์รวมรูปสินค้า Artwork Template คลิป และเอกสารขาย</v>
      </c>
      <c r="L15" s="57" t="str">
        <f t="array" ref="L15">IFERROR(XLOOKUP(C15,Data!$B$74:$B$122,Data!$G$74:$G$122,""),"")</f>
        <v>ให้สาขา/Dealer รู้ว่าหา Asset ได้จากที่ไหน ลดงานขอซ้ำ</v>
      </c>
      <c r="M15" s="57" t="str">
        <f t="array" ref="M15">IFERROR(XLOOKUP(C15,Data!$B$74:$B$122,Data!$H$74:$H$122,""),"")</f>
        <v>รายการ Asset ที่ต้องเพิ่มและผู้รับผิดชอบ</v>
      </c>
      <c r="N15" s="56" t="str">
        <f t="array" ref="N15">IFERROR(XLOOKUP(C15,Data!$B$74:$B$122,Data!$I$74:$I$122,""),"")</f>
        <v>29 สาขา FTI</v>
      </c>
      <c r="O15" s="57" t="s">
        <v>65</v>
      </c>
      <c r="P15" s="57"/>
    </row>
    <row r="16" ht="54.0" customHeight="1">
      <c r="A16" s="48">
        <f t="shared" si="1"/>
        <v>6</v>
      </c>
      <c r="B16" s="49">
        <f t="shared" si="2"/>
        <v>46272</v>
      </c>
      <c r="C16" s="55" t="s">
        <v>66</v>
      </c>
      <c r="D16" s="51" t="str">
        <f t="array" ref="D16">IFERROR(XLOOKUP(C16,Data!$B$74:$B$122,Data!$A$74:$A$122,""),"")</f>
        <v>Logistics</v>
      </c>
      <c r="E16" s="51" t="str">
        <f t="array" ref="E16">IFERROR(XLOOKUP(C16,Data!$B$74:$B$122,Data!$C$74:$C$122,""),"")</f>
        <v>Break</v>
      </c>
      <c r="F16" s="53">
        <f>TIME(10,40,0)</f>
        <v>0.4444444444</v>
      </c>
      <c r="G16" s="53">
        <f>TIME(10,55,0)</f>
        <v>0.4548611111</v>
      </c>
      <c r="H16" s="54">
        <f t="shared" si="3"/>
        <v>15</v>
      </c>
      <c r="I16" s="50" t="s">
        <v>55</v>
      </c>
      <c r="J16" s="50" t="s">
        <v>56</v>
      </c>
      <c r="K16" s="56" t="str">
        <f t="array" ref="K16">IFERROR(XLOOKUP(C16,Data!$B$74:$B$122,Data!$F$74:$F$122,""),"")</f>
        <v>พักเบรกและให้เดินชมโซนสินค้า/Asset/Membership</v>
      </c>
      <c r="L16" s="57" t="str">
        <f t="array" ref="L16">IFERROR(XLOOKUP(C16,Data!$B$74:$B$122,Data!$G$74:$G$122,""),"")</f>
        <v>ให้คนย่อยข้อมูลและสร้างบทสนทนาระหว่างกัน</v>
      </c>
      <c r="M16" s="57" t="str">
        <f t="array" ref="M16">IFERROR(XLOOKUP(C16,Data!$B$74:$B$122,Data!$H$74:$H$122,""),"")</f>
        <v>Feedback ระหว่างพักและการเยี่ยมโซน</v>
      </c>
      <c r="N16" s="56" t="str">
        <f t="array" ref="N16">IFERROR(XLOOKUP(C16,Data!$B$74:$B$122,Data!$I$74:$I$122,""),"")</f>
        <v>Mixed Audience</v>
      </c>
      <c r="O16" s="57" t="s">
        <v>67</v>
      </c>
      <c r="P16" s="57"/>
    </row>
    <row r="17" ht="54.0" customHeight="1">
      <c r="A17" s="48">
        <f t="shared" si="1"/>
        <v>7</v>
      </c>
      <c r="B17" s="49">
        <f t="shared" si="2"/>
        <v>46272</v>
      </c>
      <c r="C17" s="55" t="s">
        <v>68</v>
      </c>
      <c r="D17" s="51" t="str">
        <f t="array" ref="D17">IFERROR(XLOOKUP(C17,Data!$B$74:$B$122,Data!$A$74:$A$122,""),"")</f>
        <v>Product</v>
      </c>
      <c r="E17" s="51" t="str">
        <f t="array" ref="E17">IFERROR(XLOOKUP(C17,Data!$B$74:$B$122,Data!$C$74:$C$122,""),"")</f>
        <v>Demo / Playground</v>
      </c>
      <c r="F17" s="53">
        <f>TIME(10,55,0)</f>
        <v>0.4548611111</v>
      </c>
      <c r="G17" s="53">
        <f>TIME(11,25,0)</f>
        <v>0.4756944444</v>
      </c>
      <c r="H17" s="54">
        <f t="shared" si="3"/>
        <v>30</v>
      </c>
      <c r="I17" s="50" t="s">
        <v>69</v>
      </c>
      <c r="J17" s="50" t="s">
        <v>56</v>
      </c>
      <c r="K17" s="56" t="str">
        <f t="array" ref="K17">IFERROR(XLOOKUP(C17,Data!$B$74:$B$122,Data!$F$74:$F$122,""),"")</f>
        <v>แนะนำสินค้าเก่าที่ดีแต่ไม่ค่อยถูกขาย พร้อมเหตุผลว่าทำไมควรหยิบมาขาย</v>
      </c>
      <c r="L17" s="57" t="str">
        <f t="array" ref="L17">IFERROR(XLOOKUP(C17,Data!$B$74:$B$122,Data!$G$74:$G$122,""),"")</f>
        <v>ปลุกสินค้า GP ดี/ปัญหาน้อย/ขายซ้ำได้ ให้กลับมาอยู่ในสายตา</v>
      </c>
      <c r="M17" s="57" t="str">
        <f t="array" ref="M17">IFERROR(XLOOKUP(C17,Data!$B$74:$B$122,Data!$H$74:$H$122,""),"")</f>
        <v>รายชื่อสินค้าที่สาขาอยากทดลองขาย</v>
      </c>
      <c r="N17" s="56" t="str">
        <f t="array" ref="N17">IFERROR(XLOOKUP(C17,Data!$B$74:$B$122,Data!$I$74:$I$122,""),"")</f>
        <v>Dealer ทั่วไป</v>
      </c>
      <c r="O17" s="57" t="s">
        <v>70</v>
      </c>
      <c r="P17" s="57"/>
    </row>
    <row r="18" ht="54.0" customHeight="1">
      <c r="A18" s="48">
        <f t="shared" si="1"/>
        <v>8</v>
      </c>
      <c r="B18" s="49">
        <f t="shared" si="2"/>
        <v>46272</v>
      </c>
      <c r="C18" s="50" t="s">
        <v>68</v>
      </c>
      <c r="D18" s="51" t="str">
        <f t="array" ref="D18">IFERROR(XLOOKUP(C18,Data!$B$74:$B$122,Data!$A$74:$A$122,""),"")</f>
        <v>Product</v>
      </c>
      <c r="E18" s="51" t="str">
        <f t="array" ref="E18">IFERROR(XLOOKUP(C18,Data!$B$74:$B$122,Data!$C$74:$C$122,""),"")</f>
        <v>Demo / Playground</v>
      </c>
      <c r="F18" s="53">
        <f>TIME(11,25,0)</f>
        <v>0.4756944444</v>
      </c>
      <c r="G18" s="53">
        <f>TIME(12,10,0)</f>
        <v>0.5069444444</v>
      </c>
      <c r="H18" s="54">
        <f t="shared" si="3"/>
        <v>45</v>
      </c>
      <c r="I18" s="55" t="str">
        <f t="array" ref="I18">IFERROR(XLOOKUP(C18,Data!$B$74:$B$122,Data!$E$74:$E$122,""),"")</f>
        <v>Product Manager</v>
      </c>
      <c r="J18" s="50" t="s">
        <v>56</v>
      </c>
      <c r="K18" s="56" t="str">
        <f t="array" ref="K18">IFERROR(XLOOKUP(C18,Data!$B$74:$B$122,Data!$F$74:$F$122,""),"")</f>
        <v>แนะนำสินค้าเก่าที่ดีแต่ไม่ค่อยถูกขาย พร้อมเหตุผลว่าทำไมควรหยิบมาขาย</v>
      </c>
      <c r="L18" s="57" t="str">
        <f t="array" ref="L18">IFERROR(XLOOKUP(C18,Data!$B$74:$B$122,Data!$G$74:$G$122,""),"")</f>
        <v>ปลุกสินค้า GP ดี/ปัญหาน้อย/ขายซ้ำได้ ให้กลับมาอยู่ในสายตา</v>
      </c>
      <c r="M18" s="57" t="str">
        <f t="array" ref="M18">IFERROR(XLOOKUP(C18,Data!$B$74:$B$122,Data!$H$74:$H$122,""),"")</f>
        <v>รายชื่อสินค้าที่สาขาอยากทดลองขาย</v>
      </c>
      <c r="N18" s="56" t="str">
        <f t="array" ref="N18">IFERROR(XLOOKUP(C18,Data!$B$74:$B$122,Data!$I$74:$I$122,""),"")</f>
        <v>Dealer ทั่วไป</v>
      </c>
      <c r="O18" s="57" t="s">
        <v>71</v>
      </c>
      <c r="P18" s="57"/>
    </row>
    <row r="19" ht="54.0" customHeight="1">
      <c r="A19" s="48">
        <f t="shared" si="1"/>
        <v>9</v>
      </c>
      <c r="B19" s="49">
        <f t="shared" si="2"/>
        <v>46272</v>
      </c>
      <c r="C19" s="55" t="s">
        <v>72</v>
      </c>
      <c r="D19" s="51" t="str">
        <f t="array" ref="D19">IFERROR(XLOOKUP(C19,Data!$B$74:$B$122,Data!$A$74:$A$122,""),"")</f>
        <v>Logistics</v>
      </c>
      <c r="E19" s="51" t="str">
        <f t="array" ref="E19">IFERROR(XLOOKUP(C19,Data!$B$74:$B$122,Data!$C$74:$C$122,""),"")</f>
        <v>Lunch / Dinner</v>
      </c>
      <c r="F19" s="53">
        <f>TIME(12,10,0)</f>
        <v>0.5069444444</v>
      </c>
      <c r="G19" s="53">
        <f>TIME(13,10,0)</f>
        <v>0.5486111111</v>
      </c>
      <c r="H19" s="54">
        <f t="shared" si="3"/>
        <v>60</v>
      </c>
      <c r="I19" s="50" t="s">
        <v>55</v>
      </c>
      <c r="J19" s="50" t="s">
        <v>56</v>
      </c>
      <c r="K19" s="56" t="str">
        <f t="array" ref="K19">IFERROR(XLOOKUP(C19,Data!$B$74:$B$122,Data!$F$74:$F$122,""),"")</f>
        <v>พักกลางวัน พร้อมเปิดพื้นที่ Exhibition Zone</v>
      </c>
      <c r="L19" s="57" t="str">
        <f t="array" ref="L19">IFERROR(XLOOKUP(C19,Data!$B$74:$B$122,Data!$G$74:$G$122,""),"")</f>
        <v>ไม่ให้พลังงานตกและเพิ่มเวลาชมบูธ</v>
      </c>
      <c r="M19" s="57" t="str">
        <f t="array" ref="M19">IFERROR(XLOOKUP(C19,Data!$B$74:$B$122,Data!$H$74:$H$122,""),"")</f>
        <v>จำนวนคนเข้าโซนต่างๆ</v>
      </c>
      <c r="N19" s="56" t="str">
        <f t="array" ref="N19">IFERROR(XLOOKUP(C19,Data!$B$74:$B$122,Data!$I$74:$I$122,""),"")</f>
        <v>Mixed Audience</v>
      </c>
      <c r="O19" s="57" t="s">
        <v>73</v>
      </c>
      <c r="P19" s="57"/>
    </row>
    <row r="20" ht="54.0" customHeight="1">
      <c r="A20" s="48">
        <f t="shared" si="1"/>
        <v>10</v>
      </c>
      <c r="B20" s="49">
        <f t="shared" si="2"/>
        <v>46272</v>
      </c>
      <c r="C20" s="55" t="s">
        <v>74</v>
      </c>
      <c r="D20" s="51" t="str">
        <f t="array" ref="D20">IFERROR(XLOOKUP(C20,Data!$B$74:$B$122,Data!$A$74:$A$122,""),"")</f>
        <v>Interactive</v>
      </c>
      <c r="E20" s="51" t="str">
        <f t="array" ref="E20">IFERROR(XLOOKUP(C20,Data!$B$74:$B$122,Data!$C$74:$C$122,""),"")</f>
        <v>Demo / Playground</v>
      </c>
      <c r="F20" s="53">
        <f>TIME(13,10,0)</f>
        <v>0.5486111111</v>
      </c>
      <c r="G20" s="53">
        <f>TIME(14,10,0)</f>
        <v>0.5902777778</v>
      </c>
      <c r="H20" s="54">
        <f t="shared" si="3"/>
        <v>60</v>
      </c>
      <c r="I20" s="55" t="str">
        <f t="array" ref="I20">IFERROR(XLOOKUP(C20,Data!$B$74:$B$122,Data!$E$74:$E$122,""),"")</f>
        <v>R&amp;D</v>
      </c>
      <c r="J20" s="50" t="s">
        <v>56</v>
      </c>
      <c r="K20" s="56" t="str">
        <f t="array" ref="K20">IFERROR(XLOOKUP(C20,Data!$B$74:$B$122,Data!$F$74:$F$122,""),"")</f>
        <v>พื้นที่ทดลองสินค้าแบบหมุนฐาน ให้ผู้ร่วมงานจับ ลอง ถาม และเทียบได้</v>
      </c>
      <c r="L20" s="57" t="str">
        <f t="array" ref="L20">IFERROR(XLOOKUP(C20,Data!$B$74:$B$122,Data!$G$74:$G$122,""),"")</f>
        <v>ทำให้สินค้าใหม่ถูกเข้าใจผ่านประสบการณ์</v>
      </c>
      <c r="M20" s="57" t="str">
        <f t="array" ref="M20">IFERROR(XLOOKUP(C20,Data!$B$74:$B$122,Data!$H$74:$H$122,""),"")</f>
        <v>Feedback หน้างานและคำถามที่ต้องทำสื่อเพิ่ม</v>
      </c>
      <c r="N20" s="56" t="str">
        <f t="array" ref="N20">IFERROR(XLOOKUP(C20,Data!$B$74:$B$122,Data!$I$74:$I$122,""),"")</f>
        <v>Mixed Audience</v>
      </c>
      <c r="O20" s="57" t="s">
        <v>75</v>
      </c>
      <c r="P20" s="57"/>
    </row>
    <row r="21" ht="54.0" customHeight="1">
      <c r="A21" s="48">
        <f t="shared" si="1"/>
        <v>11</v>
      </c>
      <c r="B21" s="49">
        <f t="shared" si="2"/>
        <v>46272</v>
      </c>
      <c r="C21" s="50" t="s">
        <v>76</v>
      </c>
      <c r="D21" s="51" t="str">
        <f t="array" ref="D21">IFERROR(XLOOKUP(C21,Data!$B$74:$B$122,Data!$A$74:$A$122,""),"")</f>
        <v>Branch Sharing</v>
      </c>
      <c r="E21" s="51" t="str">
        <f t="array" ref="E21">IFERROR(XLOOKUP(C21,Data!$B$74:$B$122,Data!$C$74:$C$122,""),"")</f>
        <v>Clinic</v>
      </c>
      <c r="F21" s="53">
        <f>TIME(14,10,0)</f>
        <v>0.5902777778</v>
      </c>
      <c r="G21" s="53">
        <f>TIME(14,40,0)</f>
        <v>0.6111111111</v>
      </c>
      <c r="H21" s="54">
        <f t="shared" si="3"/>
        <v>30</v>
      </c>
      <c r="I21" s="55" t="str">
        <f t="array" ref="I21">IFERROR(XLOOKUP(C21,Data!$B$74:$B$122,Data!$E$74:$E$122,""),"")</f>
        <v>Moderator</v>
      </c>
      <c r="J21" s="50" t="s">
        <v>56</v>
      </c>
      <c r="K21" s="56" t="str">
        <f t="array" ref="K21">IFERROR(XLOOKUP(C21,Data!$B$74:$B$122,Data!$F$74:$F$122,""),"")</f>
        <v>หยิบปัญหาจริงจากสาขามาช่วยกันแก้สด</v>
      </c>
      <c r="L21" s="57" t="str">
        <f t="array" ref="L21">IFERROR(XLOOKUP(C21,Data!$B$74:$B$122,Data!$G$74:$G$122,""),"")</f>
        <v>ทำให้การประชุมมีประโยชน์จริง ไม่ใช่แค่รับฟังจากส่วนกลาง</v>
      </c>
      <c r="M21" s="57" t="str">
        <f t="array" ref="M21">IFERROR(XLOOKUP(C21,Data!$B$74:$B$122,Data!$H$74:$H$122,""),"")</f>
        <v>รายการปัญหาและ Owner ที่ต้องกลับไปแก้</v>
      </c>
      <c r="N21" s="56" t="str">
        <f t="array" ref="N21">IFERROR(XLOOKUP(C21,Data!$B$74:$B$122,Data!$I$74:$I$122,""),"")</f>
        <v>29 สาขา FTI</v>
      </c>
      <c r="O21" s="57" t="s">
        <v>77</v>
      </c>
      <c r="P21" s="57"/>
    </row>
    <row r="22" ht="54.0" customHeight="1">
      <c r="A22" s="48">
        <f t="shared" si="1"/>
        <v>12</v>
      </c>
      <c r="B22" s="49">
        <f t="shared" si="2"/>
        <v>46272</v>
      </c>
      <c r="C22" s="50" t="s">
        <v>66</v>
      </c>
      <c r="D22" s="51" t="str">
        <f t="array" ref="D22">IFERROR(XLOOKUP(C22,Data!$B$74:$B$122,Data!$A$74:$A$122,""),"")</f>
        <v>Logistics</v>
      </c>
      <c r="E22" s="51" t="str">
        <f t="array" ref="E22">IFERROR(XLOOKUP(C22,Data!$B$74:$B$122,Data!$C$74:$C$122,""),"")</f>
        <v>Break</v>
      </c>
      <c r="F22" s="53">
        <f>TIME(14,40,0)</f>
        <v>0.6111111111</v>
      </c>
      <c r="G22" s="53">
        <f>TIME(14,55,0)</f>
        <v>0.6215277778</v>
      </c>
      <c r="H22" s="54">
        <f t="shared" si="3"/>
        <v>15</v>
      </c>
      <c r="I22" s="50" t="s">
        <v>55</v>
      </c>
      <c r="J22" s="50" t="s">
        <v>56</v>
      </c>
      <c r="K22" s="56" t="str">
        <f t="array" ref="K22">IFERROR(XLOOKUP(C22,Data!$B$74:$B$122,Data!$F$74:$F$122,""),"")</f>
        <v>พักเบรกและให้เดินชมโซนสินค้า/Asset/Membership</v>
      </c>
      <c r="L22" s="57" t="str">
        <f t="array" ref="L22">IFERROR(XLOOKUP(C22,Data!$B$74:$B$122,Data!$G$74:$G$122,""),"")</f>
        <v>ให้คนย่อยข้อมูลและสร้างบทสนทนาระหว่างกัน</v>
      </c>
      <c r="M22" s="57" t="str">
        <f t="array" ref="M22">IFERROR(XLOOKUP(C22,Data!$B$74:$B$122,Data!$H$74:$H$122,""),"")</f>
        <v>Feedback ระหว่างพักและการเยี่ยมโซน</v>
      </c>
      <c r="N22" s="56" t="str">
        <f t="array" ref="N22">IFERROR(XLOOKUP(C22,Data!$B$74:$B$122,Data!$I$74:$I$122,""),"")</f>
        <v>Mixed Audience</v>
      </c>
      <c r="O22" s="57" t="s">
        <v>78</v>
      </c>
      <c r="P22" s="57"/>
    </row>
    <row r="23" ht="54.0" customHeight="1">
      <c r="A23" s="48">
        <f t="shared" si="1"/>
        <v>13</v>
      </c>
      <c r="B23" s="49">
        <f t="shared" si="2"/>
        <v>46272</v>
      </c>
      <c r="C23" s="50" t="s">
        <v>79</v>
      </c>
      <c r="D23" s="51" t="str">
        <f t="array" ref="D23">IFERROR(XLOOKUP(C23,Data!$B$74:$B$122,Data!$A$74:$A$122,""),"")</f>
        <v>Product</v>
      </c>
      <c r="E23" s="51" t="str">
        <f t="array" ref="E23">IFERROR(XLOOKUP(C23,Data!$B$74:$B$122,Data!$C$74:$C$122,""),"")</f>
        <v>Demo / Playground</v>
      </c>
      <c r="F23" s="53">
        <f>TIME(14,45,0)</f>
        <v>0.6145833333</v>
      </c>
      <c r="G23" s="53">
        <f>TIME(15,45,0)</f>
        <v>0.65625</v>
      </c>
      <c r="H23" s="54">
        <f t="shared" si="3"/>
        <v>60</v>
      </c>
      <c r="I23" s="55" t="str">
        <f t="array" ref="I23">IFERROR(XLOOKUP(C23,Data!$B$74:$B$122,Data!$E$74:$E$122,""),"")</f>
        <v>Product Manager</v>
      </c>
      <c r="J23" s="50" t="s">
        <v>56</v>
      </c>
      <c r="K23" s="56" t="str">
        <f t="array" ref="K23">IFERROR(XLOOKUP(C23,Data!$B$74:$B$122,Data!$F$74:$F$122,""),"")</f>
        <v>เปิดตัวสินค้าใหม่แบบจับจริง เห็นจริง ไม่ใช่ดูสไลด์อย่างเดียว</v>
      </c>
      <c r="L23" s="57" t="str">
        <f t="array" ref="L23">IFERROR(XLOOKUP(C23,Data!$B$74:$B$122,Data!$G$74:$G$122,""),"")</f>
        <v>ทำให้ผู้ร่วมงานจำจุดขายและข้อจำกัดได้จริง</v>
      </c>
      <c r="M23" s="57" t="str">
        <f t="array" ref="M23">IFERROR(XLOOKUP(C23,Data!$B$74:$B$122,Data!$H$74:$H$122,""),"")</f>
        <v>Feedback ต่อสินค้าใหม่และการตั้งราคา/แพ็กเกจ</v>
      </c>
      <c r="N23" s="56" t="str">
        <f t="array" ref="N23">IFERROR(XLOOKUP(C23,Data!$B$74:$B$122,Data!$I$74:$I$122,""),"")</f>
        <v>VIP Dealer</v>
      </c>
      <c r="O23" s="57" t="s">
        <v>80</v>
      </c>
      <c r="P23" s="57"/>
    </row>
    <row r="24" ht="54.0" customHeight="1">
      <c r="A24" s="48">
        <f t="shared" si="1"/>
        <v>14</v>
      </c>
      <c r="B24" s="49">
        <f t="shared" si="2"/>
        <v>46272</v>
      </c>
      <c r="C24" s="50" t="s">
        <v>81</v>
      </c>
      <c r="D24" s="51" t="str">
        <f t="array" ref="D24">IFERROR(XLOOKUP(C24,Data!$B$74:$B$122,Data!$A$74:$A$122,""),"")</f>
        <v>Interactive</v>
      </c>
      <c r="E24" s="51" t="str">
        <f t="array" ref="E24">IFERROR(XLOOKUP(C24,Data!$B$74:$B$122,Data!$C$74:$C$122,""),"")</f>
        <v>Q&amp;A</v>
      </c>
      <c r="F24" s="53">
        <f>TIME(15,45,0)</f>
        <v>0.65625</v>
      </c>
      <c r="G24" s="53">
        <f>TIME(16,15,0)</f>
        <v>0.6770833333</v>
      </c>
      <c r="H24" s="54">
        <f t="shared" si="3"/>
        <v>30</v>
      </c>
      <c r="I24" s="55" t="str">
        <f t="array" ref="I24">IFERROR(XLOOKUP(C24,Data!$B$74:$B$122,Data!$E$74:$E$122,""),"")</f>
        <v>Moderator</v>
      </c>
      <c r="J24" s="50" t="s">
        <v>56</v>
      </c>
      <c r="K24" s="56" t="str">
        <f t="array" ref="K24">IFERROR(XLOOKUP(C24,Data!$B$74:$B$122,Data!$F$74:$F$122,""),"")</f>
        <v>ถามตอบสดกับผู้บริหาร/ทีมหลักแบบควบคุมประเด็น</v>
      </c>
      <c r="L24" s="57" t="str">
        <f t="array" ref="L24">IFERROR(XLOOKUP(C24,Data!$B$74:$B$122,Data!$G$74:$G$122,""),"")</f>
        <v>เคลียร์ข้อสงสัยสำคัญก่อนปิดงาน</v>
      </c>
      <c r="M24" s="57" t="str">
        <f t="array" ref="M24">IFERROR(XLOOKUP(C24,Data!$B$74:$B$122,Data!$H$74:$H$122,""),"")</f>
        <v>FAQ และประเด็นที่ต้องสื่อสารต่อ</v>
      </c>
      <c r="N24" s="56" t="str">
        <f t="array" ref="N24">IFERROR(XLOOKUP(C24,Data!$B$74:$B$122,Data!$I$74:$I$122,""),"")</f>
        <v>Mixed Audience</v>
      </c>
      <c r="O24" s="57" t="s">
        <v>82</v>
      </c>
      <c r="P24" s="57"/>
    </row>
    <row r="25" ht="54.0" customHeight="1">
      <c r="A25" s="48">
        <f t="shared" si="1"/>
        <v>15</v>
      </c>
      <c r="B25" s="49">
        <f t="shared" si="2"/>
        <v>46272</v>
      </c>
      <c r="C25" s="50" t="s">
        <v>83</v>
      </c>
      <c r="D25" s="51" t="str">
        <f t="array" ref="D25">IFERROR(XLOOKUP(C25,Data!$B$74:$B$122,Data!$A$74:$A$122,""),"")</f>
        <v>Logistics</v>
      </c>
      <c r="E25" s="51" t="str">
        <f t="array" ref="E25">IFERROR(XLOOKUP(C25,Data!$B$74:$B$122,Data!$C$74:$C$122,""),"")</f>
        <v>Keynote</v>
      </c>
      <c r="F25" s="53">
        <f>TIME(16,0,0)</f>
        <v>0.6666666667</v>
      </c>
      <c r="G25" s="53">
        <f>TIME(16,30,0)</f>
        <v>0.6875</v>
      </c>
      <c r="H25" s="54">
        <f t="shared" si="3"/>
        <v>30</v>
      </c>
      <c r="I25" s="55" t="str">
        <f t="array" ref="I25">IFERROR(XLOOKUP(C25,Data!$B$74:$B$122,Data!$E$74:$E$122,""),"")</f>
        <v>ผู้บริหารฝ่ายการตลาด</v>
      </c>
      <c r="J25" s="50" t="s">
        <v>56</v>
      </c>
      <c r="K25" s="56" t="str">
        <f t="array" ref="K25">IFERROR(XLOOKUP(C25,Data!$B$74:$B$122,Data!$F$74:$F$122,""),"")</f>
        <v>สรุปสิ่งที่เกิดขึ้น สิ่งที่จะทยอยเปิด และช่องทางติดตามหลังงาน</v>
      </c>
      <c r="L25" s="57" t="str">
        <f t="array" ref="L25">IFERROR(XLOOKUP(C25,Data!$B$74:$B$122,Data!$G$74:$G$122,""),"")</f>
        <v>ปิดงานด้วย Action ไม่ใช่จบแล้วหาย</v>
      </c>
      <c r="M25" s="57" t="str">
        <f t="array" ref="M25">IFERROR(XLOOKUP(C25,Data!$B$74:$B$122,Data!$H$74:$H$122,""),"")</f>
        <v>รายการ Follow-up, Owner, Timeline</v>
      </c>
      <c r="N25" s="56" t="str">
        <f t="array" ref="N25">IFERROR(XLOOKUP(C25,Data!$B$74:$B$122,Data!$I$74:$I$122,""),"")</f>
        <v>Mixed Audience</v>
      </c>
      <c r="O25" s="57" t="s">
        <v>84</v>
      </c>
      <c r="P25" s="57"/>
    </row>
    <row r="26" ht="54.0" customHeight="1">
      <c r="A26" s="58" t="str">
        <f t="shared" si="1"/>
        <v/>
      </c>
      <c r="B26" s="59" t="str">
        <f t="shared" si="2"/>
        <v/>
      </c>
      <c r="C26" s="60"/>
      <c r="D26" s="61" t="str">
        <f t="array" ref="D26">IFERROR(XLOOKUP(C26,Data!$B$74:$B$122,Data!$A$74:$A$122,""),"")</f>
        <v/>
      </c>
      <c r="E26" s="61" t="str">
        <f t="array" ref="E26">IFERROR(XLOOKUP(C26,Data!$B$74:$B$122,Data!$C$74:$C$122,""),"")</f>
        <v/>
      </c>
      <c r="F26" s="62"/>
      <c r="G26" s="62"/>
      <c r="H26" s="63" t="str">
        <f t="shared" si="3"/>
        <v/>
      </c>
      <c r="I26" s="60" t="str">
        <f t="array" ref="I26">IFERROR(XLOOKUP(C26,Data!$B$74:$B$122,Data!$E$74:$E$122,""),"")</f>
        <v/>
      </c>
      <c r="J26" s="60"/>
      <c r="K26" s="61" t="str">
        <f t="array" ref="K26">IFERROR(XLOOKUP(C26,Data!$B$74:$B$122,Data!$F$74:$F$122,""),"")</f>
        <v/>
      </c>
      <c r="L26" s="60" t="str">
        <f t="array" ref="L26">IFERROR(XLOOKUP(C26,Data!$B$74:$B$122,Data!$G$74:$G$122,""),"")</f>
        <v/>
      </c>
      <c r="M26" s="60" t="str">
        <f t="array" ref="M26">IFERROR(XLOOKUP(C26,Data!$B$74:$B$122,Data!$H$74:$H$122,""),"")</f>
        <v/>
      </c>
      <c r="N26" s="61" t="str">
        <f t="array" ref="N26">IFERROR(XLOOKUP(C26,Data!$B$74:$B$122,Data!$I$74:$I$122,""),"")</f>
        <v/>
      </c>
      <c r="O26" s="60"/>
      <c r="P26" s="60"/>
    </row>
    <row r="27" ht="54.0" customHeight="1">
      <c r="A27" s="58" t="str">
        <f t="shared" si="1"/>
        <v/>
      </c>
      <c r="B27" s="59" t="str">
        <f t="shared" si="2"/>
        <v/>
      </c>
      <c r="C27" s="60"/>
      <c r="D27" s="61" t="str">
        <f t="array" ref="D27">IFERROR(XLOOKUP(C27,Data!$B$74:$B$122,Data!$A$74:$A$122,""),"")</f>
        <v/>
      </c>
      <c r="E27" s="61" t="str">
        <f t="array" ref="E27">IFERROR(XLOOKUP(C27,Data!$B$74:$B$122,Data!$C$74:$C$122,""),"")</f>
        <v/>
      </c>
      <c r="F27" s="62"/>
      <c r="G27" s="62"/>
      <c r="H27" s="63" t="str">
        <f t="shared" si="3"/>
        <v/>
      </c>
      <c r="I27" s="60" t="str">
        <f t="array" ref="I27">IFERROR(XLOOKUP(C27,Data!$B$74:$B$122,Data!$E$74:$E$122,""),"")</f>
        <v/>
      </c>
      <c r="J27" s="60"/>
      <c r="K27" s="61" t="str">
        <f t="array" ref="K27">IFERROR(XLOOKUP(C27,Data!$B$74:$B$122,Data!$F$74:$F$122,""),"")</f>
        <v/>
      </c>
      <c r="L27" s="60" t="str">
        <f t="array" ref="L27">IFERROR(XLOOKUP(C27,Data!$B$74:$B$122,Data!$G$74:$G$122,""),"")</f>
        <v/>
      </c>
      <c r="M27" s="60" t="str">
        <f t="array" ref="M27">IFERROR(XLOOKUP(C27,Data!$B$74:$B$122,Data!$H$74:$H$122,""),"")</f>
        <v/>
      </c>
      <c r="N27" s="61" t="str">
        <f t="array" ref="N27">IFERROR(XLOOKUP(C27,Data!$B$74:$B$122,Data!$I$74:$I$122,""),"")</f>
        <v/>
      </c>
      <c r="O27" s="60"/>
      <c r="P27" s="60"/>
    </row>
    <row r="28" ht="54.0" customHeight="1">
      <c r="A28" s="58" t="str">
        <f t="shared" si="1"/>
        <v/>
      </c>
      <c r="B28" s="59" t="str">
        <f t="shared" si="2"/>
        <v/>
      </c>
      <c r="C28" s="60"/>
      <c r="D28" s="61" t="str">
        <f t="array" ref="D28">IFERROR(XLOOKUP(C28,Data!$B$74:$B$122,Data!$A$74:$A$122,""),"")</f>
        <v/>
      </c>
      <c r="E28" s="61" t="str">
        <f t="array" ref="E28">IFERROR(XLOOKUP(C28,Data!$B$74:$B$122,Data!$C$74:$C$122,""),"")</f>
        <v/>
      </c>
      <c r="F28" s="62"/>
      <c r="G28" s="62"/>
      <c r="H28" s="63" t="str">
        <f t="shared" si="3"/>
        <v/>
      </c>
      <c r="I28" s="60" t="str">
        <f t="array" ref="I28">IFERROR(XLOOKUP(C28,Data!$B$74:$B$122,Data!$E$74:$E$122,""),"")</f>
        <v/>
      </c>
      <c r="J28" s="60"/>
      <c r="K28" s="61" t="str">
        <f t="array" ref="K28">IFERROR(XLOOKUP(C28,Data!$B$74:$B$122,Data!$F$74:$F$122,""),"")</f>
        <v/>
      </c>
      <c r="L28" s="60" t="str">
        <f t="array" ref="L28">IFERROR(XLOOKUP(C28,Data!$B$74:$B$122,Data!$G$74:$G$122,""),"")</f>
        <v/>
      </c>
      <c r="M28" s="60" t="str">
        <f t="array" ref="M28">IFERROR(XLOOKUP(C28,Data!$B$74:$B$122,Data!$H$74:$H$122,""),"")</f>
        <v/>
      </c>
      <c r="N28" s="61" t="str">
        <f t="array" ref="N28">IFERROR(XLOOKUP(C28,Data!$B$74:$B$122,Data!$I$74:$I$122,""),"")</f>
        <v/>
      </c>
      <c r="O28" s="60"/>
      <c r="P28" s="60"/>
    </row>
    <row r="29" ht="54.0" customHeight="1">
      <c r="A29" s="58" t="str">
        <f t="shared" si="1"/>
        <v/>
      </c>
      <c r="B29" s="59" t="str">
        <f t="shared" si="2"/>
        <v/>
      </c>
      <c r="C29" s="60"/>
      <c r="D29" s="61" t="str">
        <f t="array" ref="D29">IFERROR(XLOOKUP(C29,Data!$B$74:$B$122,Data!$A$74:$A$122,""),"")</f>
        <v/>
      </c>
      <c r="E29" s="61" t="str">
        <f t="array" ref="E29">IFERROR(XLOOKUP(C29,Data!$B$74:$B$122,Data!$C$74:$C$122,""),"")</f>
        <v/>
      </c>
      <c r="F29" s="62"/>
      <c r="G29" s="62"/>
      <c r="H29" s="63" t="str">
        <f t="shared" si="3"/>
        <v/>
      </c>
      <c r="I29" s="60" t="str">
        <f t="array" ref="I29">IFERROR(XLOOKUP(C29,Data!$B$74:$B$122,Data!$E$74:$E$122,""),"")</f>
        <v/>
      </c>
      <c r="J29" s="60"/>
      <c r="K29" s="61" t="str">
        <f t="array" ref="K29">IFERROR(XLOOKUP(C29,Data!$B$74:$B$122,Data!$F$74:$F$122,""),"")</f>
        <v/>
      </c>
      <c r="L29" s="60" t="str">
        <f t="array" ref="L29">IFERROR(XLOOKUP(C29,Data!$B$74:$B$122,Data!$G$74:$G$122,""),"")</f>
        <v/>
      </c>
      <c r="M29" s="60" t="str">
        <f t="array" ref="M29">IFERROR(XLOOKUP(C29,Data!$B$74:$B$122,Data!$H$74:$H$122,""),"")</f>
        <v/>
      </c>
      <c r="N29" s="61" t="str">
        <f t="array" ref="N29">IFERROR(XLOOKUP(C29,Data!$B$74:$B$122,Data!$I$74:$I$122,""),"")</f>
        <v/>
      </c>
      <c r="O29" s="60"/>
      <c r="P29" s="60"/>
    </row>
    <row r="30" ht="54.0" customHeight="1">
      <c r="A30" s="58" t="str">
        <f t="shared" si="1"/>
        <v/>
      </c>
      <c r="B30" s="59" t="str">
        <f t="shared" si="2"/>
        <v/>
      </c>
      <c r="C30" s="60"/>
      <c r="D30" s="61" t="str">
        <f t="array" ref="D30">IFERROR(XLOOKUP(C30,Data!$B$74:$B$122,Data!$A$74:$A$122,""),"")</f>
        <v/>
      </c>
      <c r="E30" s="61" t="str">
        <f t="array" ref="E30">IFERROR(XLOOKUP(C30,Data!$B$74:$B$122,Data!$C$74:$C$122,""),"")</f>
        <v/>
      </c>
      <c r="F30" s="62"/>
      <c r="G30" s="62"/>
      <c r="H30" s="63" t="str">
        <f t="shared" si="3"/>
        <v/>
      </c>
      <c r="I30" s="60" t="str">
        <f t="array" ref="I30">IFERROR(XLOOKUP(C30,Data!$B$74:$B$122,Data!$E$74:$E$122,""),"")</f>
        <v/>
      </c>
      <c r="J30" s="60"/>
      <c r="K30" s="61" t="str">
        <f t="array" ref="K30">IFERROR(XLOOKUP(C30,Data!$B$74:$B$122,Data!$F$74:$F$122,""),"")</f>
        <v/>
      </c>
      <c r="L30" s="60" t="str">
        <f t="array" ref="L30">IFERROR(XLOOKUP(C30,Data!$B$74:$B$122,Data!$G$74:$G$122,""),"")</f>
        <v/>
      </c>
      <c r="M30" s="60" t="str">
        <f t="array" ref="M30">IFERROR(XLOOKUP(C30,Data!$B$74:$B$122,Data!$H$74:$H$122,""),"")</f>
        <v/>
      </c>
      <c r="N30" s="61" t="str">
        <f t="array" ref="N30">IFERROR(XLOOKUP(C30,Data!$B$74:$B$122,Data!$I$74:$I$122,""),"")</f>
        <v/>
      </c>
      <c r="O30" s="60"/>
      <c r="P30" s="60"/>
    </row>
    <row r="31" ht="54.0" customHeight="1">
      <c r="A31" s="58" t="str">
        <f t="shared" si="1"/>
        <v/>
      </c>
      <c r="B31" s="59" t="str">
        <f t="shared" si="2"/>
        <v/>
      </c>
      <c r="C31" s="60"/>
      <c r="D31" s="61" t="str">
        <f t="array" ref="D31">IFERROR(XLOOKUP(C31,Data!$B$74:$B$122,Data!$A$74:$A$122,""),"")</f>
        <v/>
      </c>
      <c r="E31" s="61" t="str">
        <f t="array" ref="E31">IFERROR(XLOOKUP(C31,Data!$B$74:$B$122,Data!$C$74:$C$122,""),"")</f>
        <v/>
      </c>
      <c r="F31" s="62"/>
      <c r="G31" s="62"/>
      <c r="H31" s="63" t="str">
        <f t="shared" si="3"/>
        <v/>
      </c>
      <c r="I31" s="60" t="str">
        <f t="array" ref="I31">IFERROR(XLOOKUP(C31,Data!$B$74:$B$122,Data!$E$74:$E$122,""),"")</f>
        <v/>
      </c>
      <c r="J31" s="60"/>
      <c r="K31" s="61" t="str">
        <f t="array" ref="K31">IFERROR(XLOOKUP(C31,Data!$B$74:$B$122,Data!$F$74:$F$122,""),"")</f>
        <v/>
      </c>
      <c r="L31" s="60" t="str">
        <f t="array" ref="L31">IFERROR(XLOOKUP(C31,Data!$B$74:$B$122,Data!$G$74:$G$122,""),"")</f>
        <v/>
      </c>
      <c r="M31" s="60" t="str">
        <f t="array" ref="M31">IFERROR(XLOOKUP(C31,Data!$B$74:$B$122,Data!$H$74:$H$122,""),"")</f>
        <v/>
      </c>
      <c r="N31" s="61" t="str">
        <f t="array" ref="N31">IFERROR(XLOOKUP(C31,Data!$B$74:$B$122,Data!$I$74:$I$122,""),"")</f>
        <v/>
      </c>
      <c r="O31" s="60"/>
      <c r="P31" s="60"/>
    </row>
    <row r="32" ht="54.0" customHeight="1">
      <c r="A32" s="58" t="str">
        <f t="shared" si="1"/>
        <v/>
      </c>
      <c r="B32" s="59" t="str">
        <f t="shared" si="2"/>
        <v/>
      </c>
      <c r="C32" s="60"/>
      <c r="D32" s="61" t="str">
        <f t="array" ref="D32">IFERROR(XLOOKUP(C32,Data!$B$74:$B$122,Data!$A$74:$A$122,""),"")</f>
        <v/>
      </c>
      <c r="E32" s="61" t="str">
        <f t="array" ref="E32">IFERROR(XLOOKUP(C32,Data!$B$74:$B$122,Data!$C$74:$C$122,""),"")</f>
        <v/>
      </c>
      <c r="F32" s="62"/>
      <c r="G32" s="62"/>
      <c r="H32" s="63" t="str">
        <f t="shared" si="3"/>
        <v/>
      </c>
      <c r="I32" s="60" t="str">
        <f t="array" ref="I32">IFERROR(XLOOKUP(C32,Data!$B$74:$B$122,Data!$E$74:$E$122,""),"")</f>
        <v/>
      </c>
      <c r="J32" s="60"/>
      <c r="K32" s="61" t="str">
        <f t="array" ref="K32">IFERROR(XLOOKUP(C32,Data!$B$74:$B$122,Data!$F$74:$F$122,""),"")</f>
        <v/>
      </c>
      <c r="L32" s="60" t="str">
        <f t="array" ref="L32">IFERROR(XLOOKUP(C32,Data!$B$74:$B$122,Data!$G$74:$G$122,""),"")</f>
        <v/>
      </c>
      <c r="M32" s="60" t="str">
        <f t="array" ref="M32">IFERROR(XLOOKUP(C32,Data!$B$74:$B$122,Data!$H$74:$H$122,""),"")</f>
        <v/>
      </c>
      <c r="N32" s="61" t="str">
        <f t="array" ref="N32">IFERROR(XLOOKUP(C32,Data!$B$74:$B$122,Data!$I$74:$I$122,""),"")</f>
        <v/>
      </c>
      <c r="O32" s="60"/>
      <c r="P32" s="60"/>
    </row>
    <row r="33" ht="54.0" customHeight="1">
      <c r="A33" s="58" t="str">
        <f t="shared" si="1"/>
        <v/>
      </c>
      <c r="B33" s="59" t="str">
        <f t="shared" si="2"/>
        <v/>
      </c>
      <c r="C33" s="60"/>
      <c r="D33" s="61" t="str">
        <f t="array" ref="D33">IFERROR(XLOOKUP(C33,Data!$B$74:$B$122,Data!$A$74:$A$122,""),"")</f>
        <v/>
      </c>
      <c r="E33" s="61" t="str">
        <f t="array" ref="E33">IFERROR(XLOOKUP(C33,Data!$B$74:$B$122,Data!$C$74:$C$122,""),"")</f>
        <v/>
      </c>
      <c r="F33" s="62"/>
      <c r="G33" s="62"/>
      <c r="H33" s="63" t="str">
        <f t="shared" si="3"/>
        <v/>
      </c>
      <c r="I33" s="60" t="str">
        <f t="array" ref="I33">IFERROR(XLOOKUP(C33,Data!$B$74:$B$122,Data!$E$74:$E$122,""),"")</f>
        <v/>
      </c>
      <c r="J33" s="60"/>
      <c r="K33" s="61" t="str">
        <f t="array" ref="K33">IFERROR(XLOOKUP(C33,Data!$B$74:$B$122,Data!$F$74:$F$122,""),"")</f>
        <v/>
      </c>
      <c r="L33" s="60" t="str">
        <f t="array" ref="L33">IFERROR(XLOOKUP(C33,Data!$B$74:$B$122,Data!$G$74:$G$122,""),"")</f>
        <v/>
      </c>
      <c r="M33" s="60" t="str">
        <f t="array" ref="M33">IFERROR(XLOOKUP(C33,Data!$B$74:$B$122,Data!$H$74:$H$122,""),"")</f>
        <v/>
      </c>
      <c r="N33" s="61" t="str">
        <f t="array" ref="N33">IFERROR(XLOOKUP(C33,Data!$B$74:$B$122,Data!$I$74:$I$122,""),"")</f>
        <v/>
      </c>
      <c r="O33" s="60"/>
      <c r="P33" s="60"/>
    </row>
    <row r="34" ht="54.0" customHeight="1">
      <c r="A34" s="58" t="str">
        <f t="shared" si="1"/>
        <v/>
      </c>
      <c r="B34" s="59" t="str">
        <f t="shared" si="2"/>
        <v/>
      </c>
      <c r="C34" s="60"/>
      <c r="D34" s="61" t="str">
        <f t="array" ref="D34">IFERROR(XLOOKUP(C34,Data!$B$74:$B$122,Data!$A$74:$A$122,""),"")</f>
        <v/>
      </c>
      <c r="E34" s="61" t="str">
        <f t="array" ref="E34">IFERROR(XLOOKUP(C34,Data!$B$74:$B$122,Data!$C$74:$C$122,""),"")</f>
        <v/>
      </c>
      <c r="F34" s="62"/>
      <c r="G34" s="62"/>
      <c r="H34" s="63" t="str">
        <f t="shared" si="3"/>
        <v/>
      </c>
      <c r="I34" s="60" t="str">
        <f t="array" ref="I34">IFERROR(XLOOKUP(C34,Data!$B$74:$B$122,Data!$E$74:$E$122,""),"")</f>
        <v/>
      </c>
      <c r="J34" s="60"/>
      <c r="K34" s="61" t="str">
        <f t="array" ref="K34">IFERROR(XLOOKUP(C34,Data!$B$74:$B$122,Data!$F$74:$F$122,""),"")</f>
        <v/>
      </c>
      <c r="L34" s="60" t="str">
        <f t="array" ref="L34">IFERROR(XLOOKUP(C34,Data!$B$74:$B$122,Data!$G$74:$G$122,""),"")</f>
        <v/>
      </c>
      <c r="M34" s="60" t="str">
        <f t="array" ref="M34">IFERROR(XLOOKUP(C34,Data!$B$74:$B$122,Data!$H$74:$H$122,""),"")</f>
        <v/>
      </c>
      <c r="N34" s="61" t="str">
        <f t="array" ref="N34">IFERROR(XLOOKUP(C34,Data!$B$74:$B$122,Data!$I$74:$I$122,""),"")</f>
        <v/>
      </c>
      <c r="O34" s="60"/>
      <c r="P34" s="60"/>
    </row>
    <row r="35" ht="54.0" customHeight="1">
      <c r="A35" s="58" t="str">
        <f t="shared" si="1"/>
        <v/>
      </c>
      <c r="B35" s="59" t="str">
        <f t="shared" si="2"/>
        <v/>
      </c>
      <c r="C35" s="60"/>
      <c r="D35" s="61" t="str">
        <f t="array" ref="D35">IFERROR(XLOOKUP(C35,Data!$B$74:$B$122,Data!$A$74:$A$122,""),"")</f>
        <v/>
      </c>
      <c r="E35" s="61" t="str">
        <f t="array" ref="E35">IFERROR(XLOOKUP(C35,Data!$B$74:$B$122,Data!$C$74:$C$122,""),"")</f>
        <v/>
      </c>
      <c r="F35" s="62"/>
      <c r="G35" s="62"/>
      <c r="H35" s="63" t="str">
        <f t="shared" si="3"/>
        <v/>
      </c>
      <c r="I35" s="60" t="str">
        <f t="array" ref="I35">IFERROR(XLOOKUP(C35,Data!$B$74:$B$122,Data!$E$74:$E$122,""),"")</f>
        <v/>
      </c>
      <c r="J35" s="60"/>
      <c r="K35" s="61" t="str">
        <f t="array" ref="K35">IFERROR(XLOOKUP(C35,Data!$B$74:$B$122,Data!$F$74:$F$122,""),"")</f>
        <v/>
      </c>
      <c r="L35" s="60" t="str">
        <f t="array" ref="L35">IFERROR(XLOOKUP(C35,Data!$B$74:$B$122,Data!$G$74:$G$122,""),"")</f>
        <v/>
      </c>
      <c r="M35" s="60" t="str">
        <f t="array" ref="M35">IFERROR(XLOOKUP(C35,Data!$B$74:$B$122,Data!$H$74:$H$122,""),"")</f>
        <v/>
      </c>
      <c r="N35" s="61" t="str">
        <f t="array" ref="N35">IFERROR(XLOOKUP(C35,Data!$B$74:$B$122,Data!$I$74:$I$122,""),"")</f>
        <v/>
      </c>
      <c r="O35" s="60"/>
      <c r="P35" s="60"/>
    </row>
    <row r="36" ht="54.0" customHeight="1">
      <c r="A36" s="58" t="str">
        <f t="shared" si="1"/>
        <v/>
      </c>
      <c r="B36" s="59" t="str">
        <f t="shared" si="2"/>
        <v/>
      </c>
      <c r="C36" s="60"/>
      <c r="D36" s="61" t="str">
        <f t="array" ref="D36">IFERROR(XLOOKUP(C36,Data!$B$74:$B$122,Data!$A$74:$A$122,""),"")</f>
        <v/>
      </c>
      <c r="E36" s="61" t="str">
        <f t="array" ref="E36">IFERROR(XLOOKUP(C36,Data!$B$74:$B$122,Data!$C$74:$C$122,""),"")</f>
        <v/>
      </c>
      <c r="F36" s="62"/>
      <c r="G36" s="62"/>
      <c r="H36" s="63" t="str">
        <f t="shared" si="3"/>
        <v/>
      </c>
      <c r="I36" s="60" t="str">
        <f t="array" ref="I36">IFERROR(XLOOKUP(C36,Data!$B$74:$B$122,Data!$E$74:$E$122,""),"")</f>
        <v/>
      </c>
      <c r="J36" s="60"/>
      <c r="K36" s="61" t="str">
        <f t="array" ref="K36">IFERROR(XLOOKUP(C36,Data!$B$74:$B$122,Data!$F$74:$F$122,""),"")</f>
        <v/>
      </c>
      <c r="L36" s="60" t="str">
        <f t="array" ref="L36">IFERROR(XLOOKUP(C36,Data!$B$74:$B$122,Data!$G$74:$G$122,""),"")</f>
        <v/>
      </c>
      <c r="M36" s="60" t="str">
        <f t="array" ref="M36">IFERROR(XLOOKUP(C36,Data!$B$74:$B$122,Data!$H$74:$H$122,""),"")</f>
        <v/>
      </c>
      <c r="N36" s="61" t="str">
        <f t="array" ref="N36">IFERROR(XLOOKUP(C36,Data!$B$74:$B$122,Data!$I$74:$I$122,""),"")</f>
        <v/>
      </c>
      <c r="O36" s="60"/>
      <c r="P36" s="60"/>
    </row>
    <row r="37" ht="54.0" customHeight="1">
      <c r="A37" s="58" t="str">
        <f t="shared" si="1"/>
        <v/>
      </c>
      <c r="B37" s="59" t="str">
        <f t="shared" si="2"/>
        <v/>
      </c>
      <c r="C37" s="60"/>
      <c r="D37" s="61" t="str">
        <f t="array" ref="D37">IFERROR(XLOOKUP(C37,Data!$B$74:$B$122,Data!$A$74:$A$122,""),"")</f>
        <v/>
      </c>
      <c r="E37" s="61" t="str">
        <f t="array" ref="E37">IFERROR(XLOOKUP(C37,Data!$B$74:$B$122,Data!$C$74:$C$122,""),"")</f>
        <v/>
      </c>
      <c r="F37" s="62"/>
      <c r="G37" s="62"/>
      <c r="H37" s="63" t="str">
        <f t="shared" si="3"/>
        <v/>
      </c>
      <c r="I37" s="60" t="str">
        <f t="array" ref="I37">IFERROR(XLOOKUP(C37,Data!$B$74:$B$122,Data!$E$74:$E$122,""),"")</f>
        <v/>
      </c>
      <c r="J37" s="60"/>
      <c r="K37" s="61" t="str">
        <f t="array" ref="K37">IFERROR(XLOOKUP(C37,Data!$B$74:$B$122,Data!$F$74:$F$122,""),"")</f>
        <v/>
      </c>
      <c r="L37" s="60" t="str">
        <f t="array" ref="L37">IFERROR(XLOOKUP(C37,Data!$B$74:$B$122,Data!$G$74:$G$122,""),"")</f>
        <v/>
      </c>
      <c r="M37" s="60" t="str">
        <f t="array" ref="M37">IFERROR(XLOOKUP(C37,Data!$B$74:$B$122,Data!$H$74:$H$122,""),"")</f>
        <v/>
      </c>
      <c r="N37" s="61" t="str">
        <f t="array" ref="N37">IFERROR(XLOOKUP(C37,Data!$B$74:$B$122,Data!$I$74:$I$122,""),"")</f>
        <v/>
      </c>
      <c r="O37" s="60"/>
      <c r="P37" s="60"/>
    </row>
    <row r="38" ht="54.0" customHeight="1">
      <c r="A38" s="58" t="str">
        <f t="shared" si="1"/>
        <v/>
      </c>
      <c r="B38" s="59" t="str">
        <f t="shared" si="2"/>
        <v/>
      </c>
      <c r="C38" s="60"/>
      <c r="D38" s="61" t="str">
        <f t="array" ref="D38">IFERROR(XLOOKUP(C38,Data!$B$74:$B$122,Data!$A$74:$A$122,""),"")</f>
        <v/>
      </c>
      <c r="E38" s="61" t="str">
        <f t="array" ref="E38">IFERROR(XLOOKUP(C38,Data!$B$74:$B$122,Data!$C$74:$C$122,""),"")</f>
        <v/>
      </c>
      <c r="F38" s="62"/>
      <c r="G38" s="62"/>
      <c r="H38" s="63" t="str">
        <f t="shared" si="3"/>
        <v/>
      </c>
      <c r="I38" s="60" t="str">
        <f t="array" ref="I38">IFERROR(XLOOKUP(C38,Data!$B$74:$B$122,Data!$E$74:$E$122,""),"")</f>
        <v/>
      </c>
      <c r="J38" s="60"/>
      <c r="K38" s="61" t="str">
        <f t="array" ref="K38">IFERROR(XLOOKUP(C38,Data!$B$74:$B$122,Data!$F$74:$F$122,""),"")</f>
        <v/>
      </c>
      <c r="L38" s="60" t="str">
        <f t="array" ref="L38">IFERROR(XLOOKUP(C38,Data!$B$74:$B$122,Data!$G$74:$G$122,""),"")</f>
        <v/>
      </c>
      <c r="M38" s="60" t="str">
        <f t="array" ref="M38">IFERROR(XLOOKUP(C38,Data!$B$74:$B$122,Data!$H$74:$H$122,""),"")</f>
        <v/>
      </c>
      <c r="N38" s="61" t="str">
        <f t="array" ref="N38">IFERROR(XLOOKUP(C38,Data!$B$74:$B$122,Data!$I$74:$I$122,""),"")</f>
        <v/>
      </c>
      <c r="O38" s="60"/>
      <c r="P38" s="60"/>
    </row>
    <row r="39" ht="54.0" customHeight="1">
      <c r="A39" s="58" t="str">
        <f t="shared" si="1"/>
        <v/>
      </c>
      <c r="B39" s="59" t="str">
        <f t="shared" si="2"/>
        <v/>
      </c>
      <c r="C39" s="60"/>
      <c r="D39" s="61" t="str">
        <f t="array" ref="D39">IFERROR(XLOOKUP(C39,Data!$B$74:$B$122,Data!$A$74:$A$122,""),"")</f>
        <v/>
      </c>
      <c r="E39" s="61" t="str">
        <f t="array" ref="E39">IFERROR(XLOOKUP(C39,Data!$B$74:$B$122,Data!$C$74:$C$122,""),"")</f>
        <v/>
      </c>
      <c r="F39" s="62"/>
      <c r="G39" s="62"/>
      <c r="H39" s="63" t="str">
        <f t="shared" si="3"/>
        <v/>
      </c>
      <c r="I39" s="60" t="str">
        <f t="array" ref="I39">IFERROR(XLOOKUP(C39,Data!$B$74:$B$122,Data!$E$74:$E$122,""),"")</f>
        <v/>
      </c>
      <c r="J39" s="60"/>
      <c r="K39" s="61" t="str">
        <f t="array" ref="K39">IFERROR(XLOOKUP(C39,Data!$B$74:$B$122,Data!$F$74:$F$122,""),"")</f>
        <v/>
      </c>
      <c r="L39" s="60" t="str">
        <f t="array" ref="L39">IFERROR(XLOOKUP(C39,Data!$B$74:$B$122,Data!$G$74:$G$122,""),"")</f>
        <v/>
      </c>
      <c r="M39" s="60" t="str">
        <f t="array" ref="M39">IFERROR(XLOOKUP(C39,Data!$B$74:$B$122,Data!$H$74:$H$122,""),"")</f>
        <v/>
      </c>
      <c r="N39" s="61" t="str">
        <f t="array" ref="N39">IFERROR(XLOOKUP(C39,Data!$B$74:$B$122,Data!$I$74:$I$122,""),"")</f>
        <v/>
      </c>
      <c r="O39" s="60"/>
      <c r="P39" s="60"/>
    </row>
    <row r="40" ht="54.0" customHeight="1">
      <c r="A40" s="58" t="str">
        <f t="shared" si="1"/>
        <v/>
      </c>
      <c r="B40" s="59" t="str">
        <f t="shared" si="2"/>
        <v/>
      </c>
      <c r="C40" s="60"/>
      <c r="D40" s="61" t="str">
        <f t="array" ref="D40">IFERROR(XLOOKUP(C40,Data!$B$74:$B$122,Data!$A$74:$A$122,""),"")</f>
        <v/>
      </c>
      <c r="E40" s="61" t="str">
        <f t="array" ref="E40">IFERROR(XLOOKUP(C40,Data!$B$74:$B$122,Data!$C$74:$C$122,""),"")</f>
        <v/>
      </c>
      <c r="F40" s="62"/>
      <c r="G40" s="62"/>
      <c r="H40" s="63" t="str">
        <f t="shared" si="3"/>
        <v/>
      </c>
      <c r="I40" s="60" t="str">
        <f t="array" ref="I40">IFERROR(XLOOKUP(C40,Data!$B$74:$B$122,Data!$E$74:$E$122,""),"")</f>
        <v/>
      </c>
      <c r="J40" s="60"/>
      <c r="K40" s="61" t="str">
        <f t="array" ref="K40">IFERROR(XLOOKUP(C40,Data!$B$74:$B$122,Data!$F$74:$F$122,""),"")</f>
        <v/>
      </c>
      <c r="L40" s="60" t="str">
        <f t="array" ref="L40">IFERROR(XLOOKUP(C40,Data!$B$74:$B$122,Data!$G$74:$G$122,""),"")</f>
        <v/>
      </c>
      <c r="M40" s="60" t="str">
        <f t="array" ref="M40">IFERROR(XLOOKUP(C40,Data!$B$74:$B$122,Data!$H$74:$H$122,""),"")</f>
        <v/>
      </c>
      <c r="N40" s="61" t="str">
        <f t="array" ref="N40">IFERROR(XLOOKUP(C40,Data!$B$74:$B$122,Data!$I$74:$I$122,""),"")</f>
        <v/>
      </c>
      <c r="O40" s="60"/>
      <c r="P40" s="60"/>
    </row>
    <row r="41" ht="54.0" customHeight="1">
      <c r="A41" s="58" t="str">
        <f t="shared" si="1"/>
        <v/>
      </c>
      <c r="B41" s="59" t="str">
        <f t="shared" si="2"/>
        <v/>
      </c>
      <c r="C41" s="60"/>
      <c r="D41" s="61" t="str">
        <f t="array" ref="D41">IFERROR(XLOOKUP(C41,Data!$B$74:$B$122,Data!$A$74:$A$122,""),"")</f>
        <v/>
      </c>
      <c r="E41" s="61" t="str">
        <f t="array" ref="E41">IFERROR(XLOOKUP(C41,Data!$B$74:$B$122,Data!$C$74:$C$122,""),"")</f>
        <v/>
      </c>
      <c r="F41" s="62"/>
      <c r="G41" s="62"/>
      <c r="H41" s="63" t="str">
        <f t="shared" si="3"/>
        <v/>
      </c>
      <c r="I41" s="60" t="str">
        <f t="array" ref="I41">IFERROR(XLOOKUP(C41,Data!$B$74:$B$122,Data!$E$74:$E$122,""),"")</f>
        <v/>
      </c>
      <c r="J41" s="60"/>
      <c r="K41" s="61" t="str">
        <f t="array" ref="K41">IFERROR(XLOOKUP(C41,Data!$B$74:$B$122,Data!$F$74:$F$122,""),"")</f>
        <v/>
      </c>
      <c r="L41" s="60" t="str">
        <f t="array" ref="L41">IFERROR(XLOOKUP(C41,Data!$B$74:$B$122,Data!$G$74:$G$122,""),"")</f>
        <v/>
      </c>
      <c r="M41" s="60" t="str">
        <f t="array" ref="M41">IFERROR(XLOOKUP(C41,Data!$B$74:$B$122,Data!$H$74:$H$122,""),"")</f>
        <v/>
      </c>
      <c r="N41" s="61" t="str">
        <f t="array" ref="N41">IFERROR(XLOOKUP(C41,Data!$B$74:$B$122,Data!$I$74:$I$122,""),"")</f>
        <v/>
      </c>
      <c r="O41" s="60"/>
      <c r="P41" s="60"/>
    </row>
    <row r="42" ht="54.0" customHeight="1">
      <c r="A42" s="58" t="str">
        <f t="shared" si="1"/>
        <v/>
      </c>
      <c r="B42" s="59" t="str">
        <f t="shared" si="2"/>
        <v/>
      </c>
      <c r="C42" s="60"/>
      <c r="D42" s="61" t="str">
        <f t="array" ref="D42">IFERROR(XLOOKUP(C42,Data!$B$74:$B$122,Data!$A$74:$A$122,""),"")</f>
        <v/>
      </c>
      <c r="E42" s="61" t="str">
        <f t="array" ref="E42">IFERROR(XLOOKUP(C42,Data!$B$74:$B$122,Data!$C$74:$C$122,""),"")</f>
        <v/>
      </c>
      <c r="F42" s="62"/>
      <c r="G42" s="62"/>
      <c r="H42" s="63" t="str">
        <f t="shared" si="3"/>
        <v/>
      </c>
      <c r="I42" s="60" t="str">
        <f t="array" ref="I42">IFERROR(XLOOKUP(C42,Data!$B$74:$B$122,Data!$E$74:$E$122,""),"")</f>
        <v/>
      </c>
      <c r="J42" s="60"/>
      <c r="K42" s="61" t="str">
        <f t="array" ref="K42">IFERROR(XLOOKUP(C42,Data!$B$74:$B$122,Data!$F$74:$F$122,""),"")</f>
        <v/>
      </c>
      <c r="L42" s="60" t="str">
        <f t="array" ref="L42">IFERROR(XLOOKUP(C42,Data!$B$74:$B$122,Data!$G$74:$G$122,""),"")</f>
        <v/>
      </c>
      <c r="M42" s="60" t="str">
        <f t="array" ref="M42">IFERROR(XLOOKUP(C42,Data!$B$74:$B$122,Data!$H$74:$H$122,""),"")</f>
        <v/>
      </c>
      <c r="N42" s="61" t="str">
        <f t="array" ref="N42">IFERROR(XLOOKUP(C42,Data!$B$74:$B$122,Data!$I$74:$I$122,""),"")</f>
        <v/>
      </c>
      <c r="O42" s="60"/>
      <c r="P42" s="60"/>
    </row>
    <row r="43" ht="54.0" customHeight="1">
      <c r="A43" s="58" t="str">
        <f t="shared" si="1"/>
        <v/>
      </c>
      <c r="B43" s="59" t="str">
        <f t="shared" si="2"/>
        <v/>
      </c>
      <c r="C43" s="60"/>
      <c r="D43" s="61" t="str">
        <f t="array" ref="D43">IFERROR(XLOOKUP(C43,Data!$B$74:$B$122,Data!$A$74:$A$122,""),"")</f>
        <v/>
      </c>
      <c r="E43" s="61" t="str">
        <f t="array" ref="E43">IFERROR(XLOOKUP(C43,Data!$B$74:$B$122,Data!$C$74:$C$122,""),"")</f>
        <v/>
      </c>
      <c r="F43" s="62"/>
      <c r="G43" s="62"/>
      <c r="H43" s="63" t="str">
        <f t="shared" si="3"/>
        <v/>
      </c>
      <c r="I43" s="60" t="str">
        <f t="array" ref="I43">IFERROR(XLOOKUP(C43,Data!$B$74:$B$122,Data!$E$74:$E$122,""),"")</f>
        <v/>
      </c>
      <c r="J43" s="60"/>
      <c r="K43" s="61" t="str">
        <f t="array" ref="K43">IFERROR(XLOOKUP(C43,Data!$B$74:$B$122,Data!$F$74:$F$122,""),"")</f>
        <v/>
      </c>
      <c r="L43" s="60" t="str">
        <f t="array" ref="L43">IFERROR(XLOOKUP(C43,Data!$B$74:$B$122,Data!$G$74:$G$122,""),"")</f>
        <v/>
      </c>
      <c r="M43" s="60" t="str">
        <f t="array" ref="M43">IFERROR(XLOOKUP(C43,Data!$B$74:$B$122,Data!$H$74:$H$122,""),"")</f>
        <v/>
      </c>
      <c r="N43" s="61" t="str">
        <f t="array" ref="N43">IFERROR(XLOOKUP(C43,Data!$B$74:$B$122,Data!$I$74:$I$122,""),"")</f>
        <v/>
      </c>
      <c r="O43" s="60"/>
      <c r="P43" s="60"/>
    </row>
    <row r="44" ht="54.0" customHeight="1">
      <c r="A44" s="58" t="str">
        <f t="shared" si="1"/>
        <v/>
      </c>
      <c r="B44" s="59" t="str">
        <f t="shared" si="2"/>
        <v/>
      </c>
      <c r="C44" s="60"/>
      <c r="D44" s="61" t="str">
        <f t="array" ref="D44">IFERROR(XLOOKUP(C44,Data!$B$74:$B$122,Data!$A$74:$A$122,""),"")</f>
        <v/>
      </c>
      <c r="E44" s="61" t="str">
        <f t="array" ref="E44">IFERROR(XLOOKUP(C44,Data!$B$74:$B$122,Data!$C$74:$C$122,""),"")</f>
        <v/>
      </c>
      <c r="F44" s="62"/>
      <c r="G44" s="62"/>
      <c r="H44" s="63" t="str">
        <f t="shared" si="3"/>
        <v/>
      </c>
      <c r="I44" s="60" t="str">
        <f t="array" ref="I44">IFERROR(XLOOKUP(C44,Data!$B$74:$B$122,Data!$E$74:$E$122,""),"")</f>
        <v/>
      </c>
      <c r="J44" s="60"/>
      <c r="K44" s="61" t="str">
        <f t="array" ref="K44">IFERROR(XLOOKUP(C44,Data!$B$74:$B$122,Data!$F$74:$F$122,""),"")</f>
        <v/>
      </c>
      <c r="L44" s="60" t="str">
        <f t="array" ref="L44">IFERROR(XLOOKUP(C44,Data!$B$74:$B$122,Data!$G$74:$G$122,""),"")</f>
        <v/>
      </c>
      <c r="M44" s="60" t="str">
        <f t="array" ref="M44">IFERROR(XLOOKUP(C44,Data!$B$74:$B$122,Data!$H$74:$H$122,""),"")</f>
        <v/>
      </c>
      <c r="N44" s="61" t="str">
        <f t="array" ref="N44">IFERROR(XLOOKUP(C44,Data!$B$74:$B$122,Data!$I$74:$I$122,""),"")</f>
        <v/>
      </c>
      <c r="O44" s="60"/>
      <c r="P44" s="60"/>
    </row>
    <row r="45" ht="54.0" customHeight="1">
      <c r="A45" s="58" t="str">
        <f t="shared" si="1"/>
        <v/>
      </c>
      <c r="B45" s="59" t="str">
        <f t="shared" si="2"/>
        <v/>
      </c>
      <c r="C45" s="60"/>
      <c r="D45" s="61" t="str">
        <f t="array" ref="D45">IFERROR(XLOOKUP(C45,Data!$B$74:$B$122,Data!$A$74:$A$122,""),"")</f>
        <v/>
      </c>
      <c r="E45" s="61" t="str">
        <f t="array" ref="E45">IFERROR(XLOOKUP(C45,Data!$B$74:$B$122,Data!$C$74:$C$122,""),"")</f>
        <v/>
      </c>
      <c r="F45" s="62"/>
      <c r="G45" s="62"/>
      <c r="H45" s="63" t="str">
        <f t="shared" si="3"/>
        <v/>
      </c>
      <c r="I45" s="60" t="str">
        <f t="array" ref="I45">IFERROR(XLOOKUP(C45,Data!$B$74:$B$122,Data!$E$74:$E$122,""),"")</f>
        <v/>
      </c>
      <c r="J45" s="60"/>
      <c r="K45" s="61" t="str">
        <f t="array" ref="K45">IFERROR(XLOOKUP(C45,Data!$B$74:$B$122,Data!$F$74:$F$122,""),"")</f>
        <v/>
      </c>
      <c r="L45" s="60" t="str">
        <f t="array" ref="L45">IFERROR(XLOOKUP(C45,Data!$B$74:$B$122,Data!$G$74:$G$122,""),"")</f>
        <v/>
      </c>
      <c r="M45" s="60" t="str">
        <f t="array" ref="M45">IFERROR(XLOOKUP(C45,Data!$B$74:$B$122,Data!$H$74:$H$122,""),"")</f>
        <v/>
      </c>
      <c r="N45" s="61" t="str">
        <f t="array" ref="N45">IFERROR(XLOOKUP(C45,Data!$B$74:$B$122,Data!$I$74:$I$122,""),"")</f>
        <v/>
      </c>
      <c r="O45" s="60"/>
      <c r="P45" s="60"/>
    </row>
    <row r="46" ht="54.0" customHeight="1">
      <c r="A46" s="58" t="str">
        <f t="shared" si="1"/>
        <v/>
      </c>
      <c r="B46" s="59" t="str">
        <f t="shared" si="2"/>
        <v/>
      </c>
      <c r="C46" s="60"/>
      <c r="D46" s="61" t="str">
        <f t="array" ref="D46">IFERROR(XLOOKUP(C46,Data!$B$74:$B$122,Data!$A$74:$A$122,""),"")</f>
        <v/>
      </c>
      <c r="E46" s="61" t="str">
        <f t="array" ref="E46">IFERROR(XLOOKUP(C46,Data!$B$74:$B$122,Data!$C$74:$C$122,""),"")</f>
        <v/>
      </c>
      <c r="F46" s="62"/>
      <c r="G46" s="62"/>
      <c r="H46" s="63" t="str">
        <f t="shared" si="3"/>
        <v/>
      </c>
      <c r="I46" s="60" t="str">
        <f t="array" ref="I46">IFERROR(XLOOKUP(C46,Data!$B$74:$B$122,Data!$E$74:$E$122,""),"")</f>
        <v/>
      </c>
      <c r="J46" s="60"/>
      <c r="K46" s="61" t="str">
        <f t="array" ref="K46">IFERROR(XLOOKUP(C46,Data!$B$74:$B$122,Data!$F$74:$F$122,""),"")</f>
        <v/>
      </c>
      <c r="L46" s="60" t="str">
        <f t="array" ref="L46">IFERROR(XLOOKUP(C46,Data!$B$74:$B$122,Data!$G$74:$G$122,""),"")</f>
        <v/>
      </c>
      <c r="M46" s="60" t="str">
        <f t="array" ref="M46">IFERROR(XLOOKUP(C46,Data!$B$74:$B$122,Data!$H$74:$H$122,""),"")</f>
        <v/>
      </c>
      <c r="N46" s="61" t="str">
        <f t="array" ref="N46">IFERROR(XLOOKUP(C46,Data!$B$74:$B$122,Data!$I$74:$I$122,""),"")</f>
        <v/>
      </c>
      <c r="O46" s="60"/>
      <c r="P46" s="60"/>
    </row>
    <row r="47" ht="54.0" customHeight="1">
      <c r="A47" s="58" t="str">
        <f t="shared" si="1"/>
        <v/>
      </c>
      <c r="B47" s="59" t="str">
        <f t="shared" si="2"/>
        <v/>
      </c>
      <c r="C47" s="60"/>
      <c r="D47" s="61" t="str">
        <f t="array" ref="D47">IFERROR(XLOOKUP(C47,Data!$B$74:$B$122,Data!$A$74:$A$122,""),"")</f>
        <v/>
      </c>
      <c r="E47" s="61" t="str">
        <f t="array" ref="E47">IFERROR(XLOOKUP(C47,Data!$B$74:$B$122,Data!$C$74:$C$122,""),"")</f>
        <v/>
      </c>
      <c r="F47" s="62"/>
      <c r="G47" s="62"/>
      <c r="H47" s="63" t="str">
        <f t="shared" si="3"/>
        <v/>
      </c>
      <c r="I47" s="60" t="str">
        <f t="array" ref="I47">IFERROR(XLOOKUP(C47,Data!$B$74:$B$122,Data!$E$74:$E$122,""),"")</f>
        <v/>
      </c>
      <c r="J47" s="60"/>
      <c r="K47" s="61" t="str">
        <f t="array" ref="K47">IFERROR(XLOOKUP(C47,Data!$B$74:$B$122,Data!$F$74:$F$122,""),"")</f>
        <v/>
      </c>
      <c r="L47" s="60" t="str">
        <f t="array" ref="L47">IFERROR(XLOOKUP(C47,Data!$B$74:$B$122,Data!$G$74:$G$122,""),"")</f>
        <v/>
      </c>
      <c r="M47" s="60" t="str">
        <f t="array" ref="M47">IFERROR(XLOOKUP(C47,Data!$B$74:$B$122,Data!$H$74:$H$122,""),"")</f>
        <v/>
      </c>
      <c r="N47" s="61" t="str">
        <f t="array" ref="N47">IFERROR(XLOOKUP(C47,Data!$B$74:$B$122,Data!$I$74:$I$122,""),"")</f>
        <v/>
      </c>
      <c r="O47" s="60"/>
      <c r="P47" s="60"/>
    </row>
    <row r="48" ht="54.0" customHeight="1">
      <c r="A48" s="58" t="str">
        <f t="shared" si="1"/>
        <v/>
      </c>
      <c r="B48" s="59" t="str">
        <f t="shared" si="2"/>
        <v/>
      </c>
      <c r="C48" s="60"/>
      <c r="D48" s="61" t="str">
        <f t="array" ref="D48">IFERROR(XLOOKUP(C48,Data!$B$74:$B$122,Data!$A$74:$A$122,""),"")</f>
        <v/>
      </c>
      <c r="E48" s="61" t="str">
        <f t="array" ref="E48">IFERROR(XLOOKUP(C48,Data!$B$74:$B$122,Data!$C$74:$C$122,""),"")</f>
        <v/>
      </c>
      <c r="F48" s="62"/>
      <c r="G48" s="62"/>
      <c r="H48" s="63" t="str">
        <f t="shared" si="3"/>
        <v/>
      </c>
      <c r="I48" s="60" t="str">
        <f t="array" ref="I48">IFERROR(XLOOKUP(C48,Data!$B$74:$B$122,Data!$E$74:$E$122,""),"")</f>
        <v/>
      </c>
      <c r="J48" s="60"/>
      <c r="K48" s="61" t="str">
        <f t="array" ref="K48">IFERROR(XLOOKUP(C48,Data!$B$74:$B$122,Data!$F$74:$F$122,""),"")</f>
        <v/>
      </c>
      <c r="L48" s="60" t="str">
        <f t="array" ref="L48">IFERROR(XLOOKUP(C48,Data!$B$74:$B$122,Data!$G$74:$G$122,""),"")</f>
        <v/>
      </c>
      <c r="M48" s="60" t="str">
        <f t="array" ref="M48">IFERROR(XLOOKUP(C48,Data!$B$74:$B$122,Data!$H$74:$H$122,""),"")</f>
        <v/>
      </c>
      <c r="N48" s="61" t="str">
        <f t="array" ref="N48">IFERROR(XLOOKUP(C48,Data!$B$74:$B$122,Data!$I$74:$I$122,""),"")</f>
        <v/>
      </c>
      <c r="O48" s="60"/>
      <c r="P48" s="60"/>
    </row>
    <row r="49" ht="54.0" customHeight="1">
      <c r="A49" s="58" t="str">
        <f t="shared" si="1"/>
        <v/>
      </c>
      <c r="B49" s="59" t="str">
        <f t="shared" si="2"/>
        <v/>
      </c>
      <c r="C49" s="60"/>
      <c r="D49" s="61" t="str">
        <f t="array" ref="D49">IFERROR(XLOOKUP(C49,Data!$B$74:$B$122,Data!$A$74:$A$122,""),"")</f>
        <v/>
      </c>
      <c r="E49" s="61" t="str">
        <f t="array" ref="E49">IFERROR(XLOOKUP(C49,Data!$B$74:$B$122,Data!$C$74:$C$122,""),"")</f>
        <v/>
      </c>
      <c r="F49" s="62"/>
      <c r="G49" s="62"/>
      <c r="H49" s="63" t="str">
        <f t="shared" si="3"/>
        <v/>
      </c>
      <c r="I49" s="60" t="str">
        <f t="array" ref="I49">IFERROR(XLOOKUP(C49,Data!$B$74:$B$122,Data!$E$74:$E$122,""),"")</f>
        <v/>
      </c>
      <c r="J49" s="60"/>
      <c r="K49" s="61" t="str">
        <f t="array" ref="K49">IFERROR(XLOOKUP(C49,Data!$B$74:$B$122,Data!$F$74:$F$122,""),"")</f>
        <v/>
      </c>
      <c r="L49" s="60" t="str">
        <f t="array" ref="L49">IFERROR(XLOOKUP(C49,Data!$B$74:$B$122,Data!$G$74:$G$122,""),"")</f>
        <v/>
      </c>
      <c r="M49" s="60" t="str">
        <f t="array" ref="M49">IFERROR(XLOOKUP(C49,Data!$B$74:$B$122,Data!$H$74:$H$122,""),"")</f>
        <v/>
      </c>
      <c r="N49" s="61" t="str">
        <f t="array" ref="N49">IFERROR(XLOOKUP(C49,Data!$B$74:$B$122,Data!$I$74:$I$122,""),"")</f>
        <v/>
      </c>
      <c r="O49" s="60"/>
      <c r="P49" s="60"/>
    </row>
    <row r="50" ht="54.0" customHeight="1">
      <c r="A50" s="58" t="str">
        <f t="shared" si="1"/>
        <v/>
      </c>
      <c r="B50" s="59" t="str">
        <f t="shared" si="2"/>
        <v/>
      </c>
      <c r="C50" s="60"/>
      <c r="D50" s="61" t="str">
        <f t="array" ref="D50">IFERROR(XLOOKUP(C50,Data!$B$74:$B$122,Data!$A$74:$A$122,""),"")</f>
        <v/>
      </c>
      <c r="E50" s="61" t="str">
        <f t="array" ref="E50">IFERROR(XLOOKUP(C50,Data!$B$74:$B$122,Data!$C$74:$C$122,""),"")</f>
        <v/>
      </c>
      <c r="F50" s="62"/>
      <c r="G50" s="62"/>
      <c r="H50" s="63" t="str">
        <f t="shared" si="3"/>
        <v/>
      </c>
      <c r="I50" s="60" t="str">
        <f t="array" ref="I50">IFERROR(XLOOKUP(C50,Data!$B$74:$B$122,Data!$E$74:$E$122,""),"")</f>
        <v/>
      </c>
      <c r="J50" s="60"/>
      <c r="K50" s="61" t="str">
        <f t="array" ref="K50">IFERROR(XLOOKUP(C50,Data!$B$74:$B$122,Data!$F$74:$F$122,""),"")</f>
        <v/>
      </c>
      <c r="L50" s="60" t="str">
        <f t="array" ref="L50">IFERROR(XLOOKUP(C50,Data!$B$74:$B$122,Data!$G$74:$G$122,""),"")</f>
        <v/>
      </c>
      <c r="M50" s="60" t="str">
        <f t="array" ref="M50">IFERROR(XLOOKUP(C50,Data!$B$74:$B$122,Data!$H$74:$H$122,""),"")</f>
        <v/>
      </c>
      <c r="N50" s="61" t="str">
        <f t="array" ref="N50">IFERROR(XLOOKUP(C50,Data!$B$74:$B$122,Data!$I$74:$I$122,""),"")</f>
        <v/>
      </c>
      <c r="O50" s="60"/>
      <c r="P50" s="60"/>
    </row>
    <row r="51" ht="54.0" customHeight="1">
      <c r="A51" s="58" t="str">
        <f t="shared" si="1"/>
        <v/>
      </c>
      <c r="B51" s="59" t="str">
        <f t="shared" si="2"/>
        <v/>
      </c>
      <c r="C51" s="60"/>
      <c r="D51" s="61" t="str">
        <f t="array" ref="D51">IFERROR(XLOOKUP(C51,Data!$B$74:$B$122,Data!$A$74:$A$122,""),"")</f>
        <v/>
      </c>
      <c r="E51" s="61" t="str">
        <f t="array" ref="E51">IFERROR(XLOOKUP(C51,Data!$B$74:$B$122,Data!$C$74:$C$122,""),"")</f>
        <v/>
      </c>
      <c r="F51" s="62"/>
      <c r="G51" s="62"/>
      <c r="H51" s="63" t="str">
        <f t="shared" si="3"/>
        <v/>
      </c>
      <c r="I51" s="60" t="str">
        <f t="array" ref="I51">IFERROR(XLOOKUP(C51,Data!$B$74:$B$122,Data!$E$74:$E$122,""),"")</f>
        <v/>
      </c>
      <c r="J51" s="60"/>
      <c r="K51" s="61" t="str">
        <f t="array" ref="K51">IFERROR(XLOOKUP(C51,Data!$B$74:$B$122,Data!$F$74:$F$122,""),"")</f>
        <v/>
      </c>
      <c r="L51" s="60" t="str">
        <f t="array" ref="L51">IFERROR(XLOOKUP(C51,Data!$B$74:$B$122,Data!$G$74:$G$122,""),"")</f>
        <v/>
      </c>
      <c r="M51" s="60" t="str">
        <f t="array" ref="M51">IFERROR(XLOOKUP(C51,Data!$B$74:$B$122,Data!$H$74:$H$122,""),"")</f>
        <v/>
      </c>
      <c r="N51" s="61" t="str">
        <f t="array" ref="N51">IFERROR(XLOOKUP(C51,Data!$B$74:$B$122,Data!$I$74:$I$122,""),"")</f>
        <v/>
      </c>
      <c r="O51" s="60"/>
      <c r="P51" s="60"/>
    </row>
    <row r="52" ht="54.0" customHeight="1">
      <c r="A52" s="58" t="str">
        <f t="shared" si="1"/>
        <v/>
      </c>
      <c r="B52" s="59" t="str">
        <f t="shared" si="2"/>
        <v/>
      </c>
      <c r="C52" s="60"/>
      <c r="D52" s="61" t="str">
        <f t="array" ref="D52">IFERROR(XLOOKUP(C52,Data!$B$74:$B$122,Data!$A$74:$A$122,""),"")</f>
        <v/>
      </c>
      <c r="E52" s="61" t="str">
        <f t="array" ref="E52">IFERROR(XLOOKUP(C52,Data!$B$74:$B$122,Data!$C$74:$C$122,""),"")</f>
        <v/>
      </c>
      <c r="F52" s="62"/>
      <c r="G52" s="62"/>
      <c r="H52" s="63" t="str">
        <f t="shared" si="3"/>
        <v/>
      </c>
      <c r="I52" s="60" t="str">
        <f t="array" ref="I52">IFERROR(XLOOKUP(C52,Data!$B$74:$B$122,Data!$E$74:$E$122,""),"")</f>
        <v/>
      </c>
      <c r="J52" s="60"/>
      <c r="K52" s="61" t="str">
        <f t="array" ref="K52">IFERROR(XLOOKUP(C52,Data!$B$74:$B$122,Data!$F$74:$F$122,""),"")</f>
        <v/>
      </c>
      <c r="L52" s="60" t="str">
        <f t="array" ref="L52">IFERROR(XLOOKUP(C52,Data!$B$74:$B$122,Data!$G$74:$G$122,""),"")</f>
        <v/>
      </c>
      <c r="M52" s="60" t="str">
        <f t="array" ref="M52">IFERROR(XLOOKUP(C52,Data!$B$74:$B$122,Data!$H$74:$H$122,""),"")</f>
        <v/>
      </c>
      <c r="N52" s="61" t="str">
        <f t="array" ref="N52">IFERROR(XLOOKUP(C52,Data!$B$74:$B$122,Data!$I$74:$I$122,""),"")</f>
        <v/>
      </c>
      <c r="O52" s="60"/>
      <c r="P52" s="60"/>
    </row>
    <row r="53" ht="54.0" customHeight="1">
      <c r="A53" s="58" t="str">
        <f t="shared" si="1"/>
        <v/>
      </c>
      <c r="B53" s="59" t="str">
        <f t="shared" si="2"/>
        <v/>
      </c>
      <c r="C53" s="60"/>
      <c r="D53" s="61" t="str">
        <f t="array" ref="D53">IFERROR(XLOOKUP(C53,Data!$B$74:$B$122,Data!$A$74:$A$122,""),"")</f>
        <v/>
      </c>
      <c r="E53" s="61" t="str">
        <f t="array" ref="E53">IFERROR(XLOOKUP(C53,Data!$B$74:$B$122,Data!$C$74:$C$122,""),"")</f>
        <v/>
      </c>
      <c r="F53" s="62"/>
      <c r="G53" s="62"/>
      <c r="H53" s="63" t="str">
        <f t="shared" si="3"/>
        <v/>
      </c>
      <c r="I53" s="60" t="str">
        <f t="array" ref="I53">IFERROR(XLOOKUP(C53,Data!$B$74:$B$122,Data!$E$74:$E$122,""),"")</f>
        <v/>
      </c>
      <c r="J53" s="60"/>
      <c r="K53" s="61" t="str">
        <f t="array" ref="K53">IFERROR(XLOOKUP(C53,Data!$B$74:$B$122,Data!$F$74:$F$122,""),"")</f>
        <v/>
      </c>
      <c r="L53" s="60" t="str">
        <f t="array" ref="L53">IFERROR(XLOOKUP(C53,Data!$B$74:$B$122,Data!$G$74:$G$122,""),"")</f>
        <v/>
      </c>
      <c r="M53" s="60" t="str">
        <f t="array" ref="M53">IFERROR(XLOOKUP(C53,Data!$B$74:$B$122,Data!$H$74:$H$122,""),"")</f>
        <v/>
      </c>
      <c r="N53" s="61" t="str">
        <f t="array" ref="N53">IFERROR(XLOOKUP(C53,Data!$B$74:$B$122,Data!$I$74:$I$122,""),"")</f>
        <v/>
      </c>
      <c r="O53" s="60"/>
      <c r="P53" s="60"/>
    </row>
    <row r="54" ht="54.0" customHeight="1">
      <c r="A54" s="58" t="str">
        <f t="shared" si="1"/>
        <v/>
      </c>
      <c r="B54" s="59" t="str">
        <f t="shared" si="2"/>
        <v/>
      </c>
      <c r="C54" s="60"/>
      <c r="D54" s="61" t="str">
        <f t="array" ref="D54">IFERROR(XLOOKUP(C54,Data!$B$74:$B$122,Data!$A$74:$A$122,""),"")</f>
        <v/>
      </c>
      <c r="E54" s="61" t="str">
        <f t="array" ref="E54">IFERROR(XLOOKUP(C54,Data!$B$74:$B$122,Data!$C$74:$C$122,""),"")</f>
        <v/>
      </c>
      <c r="F54" s="62"/>
      <c r="G54" s="62"/>
      <c r="H54" s="63" t="str">
        <f t="shared" si="3"/>
        <v/>
      </c>
      <c r="I54" s="60" t="str">
        <f t="array" ref="I54">IFERROR(XLOOKUP(C54,Data!$B$74:$B$122,Data!$E$74:$E$122,""),"")</f>
        <v/>
      </c>
      <c r="J54" s="60"/>
      <c r="K54" s="61" t="str">
        <f t="array" ref="K54">IFERROR(XLOOKUP(C54,Data!$B$74:$B$122,Data!$F$74:$F$122,""),"")</f>
        <v/>
      </c>
      <c r="L54" s="60" t="str">
        <f t="array" ref="L54">IFERROR(XLOOKUP(C54,Data!$B$74:$B$122,Data!$G$74:$G$122,""),"")</f>
        <v/>
      </c>
      <c r="M54" s="60" t="str">
        <f t="array" ref="M54">IFERROR(XLOOKUP(C54,Data!$B$74:$B$122,Data!$H$74:$H$122,""),"")</f>
        <v/>
      </c>
      <c r="N54" s="61" t="str">
        <f t="array" ref="N54">IFERROR(XLOOKUP(C54,Data!$B$74:$B$122,Data!$I$74:$I$122,""),"")</f>
        <v/>
      </c>
      <c r="O54" s="60"/>
      <c r="P54" s="60"/>
    </row>
    <row r="55" ht="54.0" customHeight="1">
      <c r="A55" s="58" t="str">
        <f t="shared" si="1"/>
        <v/>
      </c>
      <c r="B55" s="59" t="str">
        <f t="shared" si="2"/>
        <v/>
      </c>
      <c r="C55" s="60"/>
      <c r="D55" s="61" t="str">
        <f t="array" ref="D55">IFERROR(XLOOKUP(C55,Data!$B$74:$B$122,Data!$A$74:$A$122,""),"")</f>
        <v/>
      </c>
      <c r="E55" s="61" t="str">
        <f t="array" ref="E55">IFERROR(XLOOKUP(C55,Data!$B$74:$B$122,Data!$C$74:$C$122,""),"")</f>
        <v/>
      </c>
      <c r="F55" s="62"/>
      <c r="G55" s="62"/>
      <c r="H55" s="63" t="str">
        <f t="shared" si="3"/>
        <v/>
      </c>
      <c r="I55" s="60" t="str">
        <f t="array" ref="I55">IFERROR(XLOOKUP(C55,Data!$B$74:$B$122,Data!$E$74:$E$122,""),"")</f>
        <v/>
      </c>
      <c r="J55" s="60"/>
      <c r="K55" s="61" t="str">
        <f t="array" ref="K55">IFERROR(XLOOKUP(C55,Data!$B$74:$B$122,Data!$F$74:$F$122,""),"")</f>
        <v/>
      </c>
      <c r="L55" s="60" t="str">
        <f t="array" ref="L55">IFERROR(XLOOKUP(C55,Data!$B$74:$B$122,Data!$G$74:$G$122,""),"")</f>
        <v/>
      </c>
      <c r="M55" s="60" t="str">
        <f t="array" ref="M55">IFERROR(XLOOKUP(C55,Data!$B$74:$B$122,Data!$H$74:$H$122,""),"")</f>
        <v/>
      </c>
      <c r="N55" s="61" t="str">
        <f t="array" ref="N55">IFERROR(XLOOKUP(C55,Data!$B$74:$B$122,Data!$I$74:$I$122,""),"")</f>
        <v/>
      </c>
      <c r="O55" s="60"/>
      <c r="P55" s="60"/>
    </row>
    <row r="56" ht="54.0" customHeight="1">
      <c r="A56" s="58" t="str">
        <f t="shared" si="1"/>
        <v/>
      </c>
      <c r="B56" s="59" t="str">
        <f t="shared" si="2"/>
        <v/>
      </c>
      <c r="C56" s="60"/>
      <c r="D56" s="61" t="str">
        <f t="array" ref="D56">IFERROR(XLOOKUP(C56,Data!$B$74:$B$122,Data!$A$74:$A$122,""),"")</f>
        <v/>
      </c>
      <c r="E56" s="61" t="str">
        <f t="array" ref="E56">IFERROR(XLOOKUP(C56,Data!$B$74:$B$122,Data!$C$74:$C$122,""),"")</f>
        <v/>
      </c>
      <c r="F56" s="62"/>
      <c r="G56" s="62"/>
      <c r="H56" s="63" t="str">
        <f t="shared" si="3"/>
        <v/>
      </c>
      <c r="I56" s="60" t="str">
        <f t="array" ref="I56">IFERROR(XLOOKUP(C56,Data!$B$74:$B$122,Data!$E$74:$E$122,""),"")</f>
        <v/>
      </c>
      <c r="J56" s="60"/>
      <c r="K56" s="61" t="str">
        <f t="array" ref="K56">IFERROR(XLOOKUP(C56,Data!$B$74:$B$122,Data!$F$74:$F$122,""),"")</f>
        <v/>
      </c>
      <c r="L56" s="60" t="str">
        <f t="array" ref="L56">IFERROR(XLOOKUP(C56,Data!$B$74:$B$122,Data!$G$74:$G$122,""),"")</f>
        <v/>
      </c>
      <c r="M56" s="60" t="str">
        <f t="array" ref="M56">IFERROR(XLOOKUP(C56,Data!$B$74:$B$122,Data!$H$74:$H$122,""),"")</f>
        <v/>
      </c>
      <c r="N56" s="61" t="str">
        <f t="array" ref="N56">IFERROR(XLOOKUP(C56,Data!$B$74:$B$122,Data!$I$74:$I$122,""),"")</f>
        <v/>
      </c>
      <c r="O56" s="60"/>
      <c r="P56" s="60"/>
    </row>
    <row r="57" ht="54.0" customHeight="1">
      <c r="A57" s="58" t="str">
        <f t="shared" si="1"/>
        <v/>
      </c>
      <c r="B57" s="59" t="str">
        <f t="shared" si="2"/>
        <v/>
      </c>
      <c r="C57" s="60"/>
      <c r="D57" s="61" t="str">
        <f t="array" ref="D57">IFERROR(XLOOKUP(C57,Data!$B$74:$B$122,Data!$A$74:$A$122,""),"")</f>
        <v/>
      </c>
      <c r="E57" s="61" t="str">
        <f t="array" ref="E57">IFERROR(XLOOKUP(C57,Data!$B$74:$B$122,Data!$C$74:$C$122,""),"")</f>
        <v/>
      </c>
      <c r="F57" s="62"/>
      <c r="G57" s="62"/>
      <c r="H57" s="63" t="str">
        <f t="shared" si="3"/>
        <v/>
      </c>
      <c r="I57" s="60" t="str">
        <f t="array" ref="I57">IFERROR(XLOOKUP(C57,Data!$B$74:$B$122,Data!$E$74:$E$122,""),"")</f>
        <v/>
      </c>
      <c r="J57" s="60"/>
      <c r="K57" s="61" t="str">
        <f t="array" ref="K57">IFERROR(XLOOKUP(C57,Data!$B$74:$B$122,Data!$F$74:$F$122,""),"")</f>
        <v/>
      </c>
      <c r="L57" s="60" t="str">
        <f t="array" ref="L57">IFERROR(XLOOKUP(C57,Data!$B$74:$B$122,Data!$G$74:$G$122,""),"")</f>
        <v/>
      </c>
      <c r="M57" s="60" t="str">
        <f t="array" ref="M57">IFERROR(XLOOKUP(C57,Data!$B$74:$B$122,Data!$H$74:$H$122,""),"")</f>
        <v/>
      </c>
      <c r="N57" s="61" t="str">
        <f t="array" ref="N57">IFERROR(XLOOKUP(C57,Data!$B$74:$B$122,Data!$I$74:$I$122,""),"")</f>
        <v/>
      </c>
      <c r="O57" s="60"/>
      <c r="P57" s="60"/>
    </row>
    <row r="58" ht="54.0" customHeight="1">
      <c r="A58" s="58" t="str">
        <f t="shared" si="1"/>
        <v/>
      </c>
      <c r="B58" s="59" t="str">
        <f t="shared" si="2"/>
        <v/>
      </c>
      <c r="C58" s="60"/>
      <c r="D58" s="61" t="str">
        <f t="array" ref="D58">IFERROR(XLOOKUP(C58,Data!$B$74:$B$122,Data!$A$74:$A$122,""),"")</f>
        <v/>
      </c>
      <c r="E58" s="61" t="str">
        <f t="array" ref="E58">IFERROR(XLOOKUP(C58,Data!$B$74:$B$122,Data!$C$74:$C$122,""),"")</f>
        <v/>
      </c>
      <c r="F58" s="62"/>
      <c r="G58" s="62"/>
      <c r="H58" s="63" t="str">
        <f t="shared" si="3"/>
        <v/>
      </c>
      <c r="I58" s="60" t="str">
        <f t="array" ref="I58">IFERROR(XLOOKUP(C58,Data!$B$74:$B$122,Data!$E$74:$E$122,""),"")</f>
        <v/>
      </c>
      <c r="J58" s="60"/>
      <c r="K58" s="61" t="str">
        <f t="array" ref="K58">IFERROR(XLOOKUP(C58,Data!$B$74:$B$122,Data!$F$74:$F$122,""),"")</f>
        <v/>
      </c>
      <c r="L58" s="60" t="str">
        <f t="array" ref="L58">IFERROR(XLOOKUP(C58,Data!$B$74:$B$122,Data!$G$74:$G$122,""),"")</f>
        <v/>
      </c>
      <c r="M58" s="60" t="str">
        <f t="array" ref="M58">IFERROR(XLOOKUP(C58,Data!$B$74:$B$122,Data!$H$74:$H$122,""),"")</f>
        <v/>
      </c>
      <c r="N58" s="61" t="str">
        <f t="array" ref="N58">IFERROR(XLOOKUP(C58,Data!$B$74:$B$122,Data!$I$74:$I$122,""),"")</f>
        <v/>
      </c>
      <c r="O58" s="60"/>
      <c r="P58" s="60"/>
    </row>
    <row r="59" ht="54.0" customHeight="1">
      <c r="A59" s="58" t="str">
        <f t="shared" si="1"/>
        <v/>
      </c>
      <c r="B59" s="59" t="str">
        <f t="shared" si="2"/>
        <v/>
      </c>
      <c r="C59" s="60"/>
      <c r="D59" s="61" t="str">
        <f t="array" ref="D59">IFERROR(XLOOKUP(C59,Data!$B$74:$B$122,Data!$A$74:$A$122,""),"")</f>
        <v/>
      </c>
      <c r="E59" s="61" t="str">
        <f t="array" ref="E59">IFERROR(XLOOKUP(C59,Data!$B$74:$B$122,Data!$C$74:$C$122,""),"")</f>
        <v/>
      </c>
      <c r="F59" s="62"/>
      <c r="G59" s="62"/>
      <c r="H59" s="63" t="str">
        <f t="shared" si="3"/>
        <v/>
      </c>
      <c r="I59" s="60" t="str">
        <f t="array" ref="I59">IFERROR(XLOOKUP(C59,Data!$B$74:$B$122,Data!$E$74:$E$122,""),"")</f>
        <v/>
      </c>
      <c r="J59" s="60"/>
      <c r="K59" s="61" t="str">
        <f t="array" ref="K59">IFERROR(XLOOKUP(C59,Data!$B$74:$B$122,Data!$F$74:$F$122,""),"")</f>
        <v/>
      </c>
      <c r="L59" s="60" t="str">
        <f t="array" ref="L59">IFERROR(XLOOKUP(C59,Data!$B$74:$B$122,Data!$G$74:$G$122,""),"")</f>
        <v/>
      </c>
      <c r="M59" s="60" t="str">
        <f t="array" ref="M59">IFERROR(XLOOKUP(C59,Data!$B$74:$B$122,Data!$H$74:$H$122,""),"")</f>
        <v/>
      </c>
      <c r="N59" s="61" t="str">
        <f t="array" ref="N59">IFERROR(XLOOKUP(C59,Data!$B$74:$B$122,Data!$I$74:$I$122,""),"")</f>
        <v/>
      </c>
      <c r="O59" s="60"/>
      <c r="P59" s="60"/>
    </row>
    <row r="60" ht="54.0" customHeight="1">
      <c r="A60" s="58" t="str">
        <f t="shared" si="1"/>
        <v/>
      </c>
      <c r="B60" s="59" t="str">
        <f t="shared" si="2"/>
        <v/>
      </c>
      <c r="C60" s="60"/>
      <c r="D60" s="61" t="str">
        <f t="array" ref="D60">IFERROR(XLOOKUP(C60,Data!$B$74:$B$122,Data!$A$74:$A$122,""),"")</f>
        <v/>
      </c>
      <c r="E60" s="61" t="str">
        <f t="array" ref="E60">IFERROR(XLOOKUP(C60,Data!$B$74:$B$122,Data!$C$74:$C$122,""),"")</f>
        <v/>
      </c>
      <c r="F60" s="62"/>
      <c r="G60" s="62"/>
      <c r="H60" s="63" t="str">
        <f t="shared" si="3"/>
        <v/>
      </c>
      <c r="I60" s="60" t="str">
        <f t="array" ref="I60">IFERROR(XLOOKUP(C60,Data!$B$74:$B$122,Data!$E$74:$E$122,""),"")</f>
        <v/>
      </c>
      <c r="J60" s="60"/>
      <c r="K60" s="61" t="str">
        <f t="array" ref="K60">IFERROR(XLOOKUP(C60,Data!$B$74:$B$122,Data!$F$74:$F$122,""),"")</f>
        <v/>
      </c>
      <c r="L60" s="60" t="str">
        <f t="array" ref="L60">IFERROR(XLOOKUP(C60,Data!$B$74:$B$122,Data!$G$74:$G$122,""),"")</f>
        <v/>
      </c>
      <c r="M60" s="60" t="str">
        <f t="array" ref="M60">IFERROR(XLOOKUP(C60,Data!$B$74:$B$122,Data!$H$74:$H$122,""),"")</f>
        <v/>
      </c>
      <c r="N60" s="61" t="str">
        <f t="array" ref="N60">IFERROR(XLOOKUP(C60,Data!$B$74:$B$122,Data!$I$74:$I$122,""),"")</f>
        <v/>
      </c>
      <c r="O60" s="60"/>
      <c r="P60" s="60"/>
    </row>
    <row r="61" ht="54.0" customHeight="1">
      <c r="A61" s="58" t="str">
        <f t="shared" si="1"/>
        <v/>
      </c>
      <c r="B61" s="59" t="str">
        <f t="shared" si="2"/>
        <v/>
      </c>
      <c r="C61" s="60"/>
      <c r="D61" s="61" t="str">
        <f t="array" ref="D61">IFERROR(XLOOKUP(C61,Data!$B$74:$B$122,Data!$A$74:$A$122,""),"")</f>
        <v/>
      </c>
      <c r="E61" s="61" t="str">
        <f t="array" ref="E61">IFERROR(XLOOKUP(C61,Data!$B$74:$B$122,Data!$C$74:$C$122,""),"")</f>
        <v/>
      </c>
      <c r="F61" s="62"/>
      <c r="G61" s="62"/>
      <c r="H61" s="63" t="str">
        <f t="shared" si="3"/>
        <v/>
      </c>
      <c r="I61" s="60" t="str">
        <f t="array" ref="I61">IFERROR(XLOOKUP(C61,Data!$B$74:$B$122,Data!$E$74:$E$122,""),"")</f>
        <v/>
      </c>
      <c r="J61" s="60"/>
      <c r="K61" s="61" t="str">
        <f t="array" ref="K61">IFERROR(XLOOKUP(C61,Data!$B$74:$B$122,Data!$F$74:$F$122,""),"")</f>
        <v/>
      </c>
      <c r="L61" s="60" t="str">
        <f t="array" ref="L61">IFERROR(XLOOKUP(C61,Data!$B$74:$B$122,Data!$G$74:$G$122,""),"")</f>
        <v/>
      </c>
      <c r="M61" s="60" t="str">
        <f t="array" ref="M61">IFERROR(XLOOKUP(C61,Data!$B$74:$B$122,Data!$H$74:$H$122,""),"")</f>
        <v/>
      </c>
      <c r="N61" s="61" t="str">
        <f t="array" ref="N61">IFERROR(XLOOKUP(C61,Data!$B$74:$B$122,Data!$I$74:$I$122,""),"")</f>
        <v/>
      </c>
      <c r="O61" s="60"/>
      <c r="P61" s="60"/>
    </row>
    <row r="62" ht="54.0" customHeight="1">
      <c r="A62" s="58" t="str">
        <f t="shared" si="1"/>
        <v/>
      </c>
      <c r="B62" s="59" t="str">
        <f t="shared" si="2"/>
        <v/>
      </c>
      <c r="C62" s="60"/>
      <c r="D62" s="61" t="str">
        <f t="array" ref="D62">IFERROR(XLOOKUP(C62,Data!$B$74:$B$122,Data!$A$74:$A$122,""),"")</f>
        <v/>
      </c>
      <c r="E62" s="61" t="str">
        <f t="array" ref="E62">IFERROR(XLOOKUP(C62,Data!$B$74:$B$122,Data!$C$74:$C$122,""),"")</f>
        <v/>
      </c>
      <c r="F62" s="62"/>
      <c r="G62" s="62"/>
      <c r="H62" s="63" t="str">
        <f t="shared" si="3"/>
        <v/>
      </c>
      <c r="I62" s="60" t="str">
        <f t="array" ref="I62">IFERROR(XLOOKUP(C62,Data!$B$74:$B$122,Data!$E$74:$E$122,""),"")</f>
        <v/>
      </c>
      <c r="J62" s="60"/>
      <c r="K62" s="61" t="str">
        <f t="array" ref="K62">IFERROR(XLOOKUP(C62,Data!$B$74:$B$122,Data!$F$74:$F$122,""),"")</f>
        <v/>
      </c>
      <c r="L62" s="60" t="str">
        <f t="array" ref="L62">IFERROR(XLOOKUP(C62,Data!$B$74:$B$122,Data!$G$74:$G$122,""),"")</f>
        <v/>
      </c>
      <c r="M62" s="60" t="str">
        <f t="array" ref="M62">IFERROR(XLOOKUP(C62,Data!$B$74:$B$122,Data!$H$74:$H$122,""),"")</f>
        <v/>
      </c>
      <c r="N62" s="61" t="str">
        <f t="array" ref="N62">IFERROR(XLOOKUP(C62,Data!$B$74:$B$122,Data!$I$74:$I$122,""),"")</f>
        <v/>
      </c>
      <c r="O62" s="60"/>
      <c r="P62" s="60"/>
    </row>
    <row r="63" ht="54.0" customHeight="1">
      <c r="A63" s="58" t="str">
        <f t="shared" si="1"/>
        <v/>
      </c>
      <c r="B63" s="59" t="str">
        <f t="shared" si="2"/>
        <v/>
      </c>
      <c r="C63" s="60"/>
      <c r="D63" s="61" t="str">
        <f t="array" ref="D63">IFERROR(XLOOKUP(C63,Data!$B$74:$B$122,Data!$A$74:$A$122,""),"")</f>
        <v/>
      </c>
      <c r="E63" s="61" t="str">
        <f t="array" ref="E63">IFERROR(XLOOKUP(C63,Data!$B$74:$B$122,Data!$C$74:$C$122,""),"")</f>
        <v/>
      </c>
      <c r="F63" s="62"/>
      <c r="G63" s="62"/>
      <c r="H63" s="63" t="str">
        <f t="shared" si="3"/>
        <v/>
      </c>
      <c r="I63" s="60" t="str">
        <f t="array" ref="I63">IFERROR(XLOOKUP(C63,Data!$B$74:$B$122,Data!$E$74:$E$122,""),"")</f>
        <v/>
      </c>
      <c r="J63" s="60"/>
      <c r="K63" s="61" t="str">
        <f t="array" ref="K63">IFERROR(XLOOKUP(C63,Data!$B$74:$B$122,Data!$F$74:$F$122,""),"")</f>
        <v/>
      </c>
      <c r="L63" s="60" t="str">
        <f t="array" ref="L63">IFERROR(XLOOKUP(C63,Data!$B$74:$B$122,Data!$G$74:$G$122,""),"")</f>
        <v/>
      </c>
      <c r="M63" s="60" t="str">
        <f t="array" ref="M63">IFERROR(XLOOKUP(C63,Data!$B$74:$B$122,Data!$H$74:$H$122,""),"")</f>
        <v/>
      </c>
      <c r="N63" s="61" t="str">
        <f t="array" ref="N63">IFERROR(XLOOKUP(C63,Data!$B$74:$B$122,Data!$I$74:$I$122,""),"")</f>
        <v/>
      </c>
      <c r="O63" s="60"/>
      <c r="P63" s="60"/>
    </row>
    <row r="64" ht="54.0" customHeight="1">
      <c r="A64" s="58" t="str">
        <f t="shared" si="1"/>
        <v/>
      </c>
      <c r="B64" s="59" t="str">
        <f t="shared" si="2"/>
        <v/>
      </c>
      <c r="C64" s="60"/>
      <c r="D64" s="61" t="str">
        <f t="array" ref="D64">IFERROR(XLOOKUP(C64,Data!$B$74:$B$122,Data!$A$74:$A$122,""),"")</f>
        <v/>
      </c>
      <c r="E64" s="61" t="str">
        <f t="array" ref="E64">IFERROR(XLOOKUP(C64,Data!$B$74:$B$122,Data!$C$74:$C$122,""),"")</f>
        <v/>
      </c>
      <c r="F64" s="62"/>
      <c r="G64" s="62"/>
      <c r="H64" s="63" t="str">
        <f t="shared" si="3"/>
        <v/>
      </c>
      <c r="I64" s="60" t="str">
        <f t="array" ref="I64">IFERROR(XLOOKUP(C64,Data!$B$74:$B$122,Data!$E$74:$E$122,""),"")</f>
        <v/>
      </c>
      <c r="J64" s="60"/>
      <c r="K64" s="61" t="str">
        <f t="array" ref="K64">IFERROR(XLOOKUP(C64,Data!$B$74:$B$122,Data!$F$74:$F$122,""),"")</f>
        <v/>
      </c>
      <c r="L64" s="60" t="str">
        <f t="array" ref="L64">IFERROR(XLOOKUP(C64,Data!$B$74:$B$122,Data!$G$74:$G$122,""),"")</f>
        <v/>
      </c>
      <c r="M64" s="60" t="str">
        <f t="array" ref="M64">IFERROR(XLOOKUP(C64,Data!$B$74:$B$122,Data!$H$74:$H$122,""),"")</f>
        <v/>
      </c>
      <c r="N64" s="61" t="str">
        <f t="array" ref="N64">IFERROR(XLOOKUP(C64,Data!$B$74:$B$122,Data!$I$74:$I$122,""),"")</f>
        <v/>
      </c>
      <c r="O64" s="60"/>
      <c r="P64" s="60"/>
    </row>
    <row r="65" ht="54.0" customHeight="1">
      <c r="A65" s="58" t="str">
        <f t="shared" si="1"/>
        <v/>
      </c>
      <c r="B65" s="59" t="str">
        <f t="shared" si="2"/>
        <v/>
      </c>
      <c r="C65" s="60"/>
      <c r="D65" s="61" t="str">
        <f t="array" ref="D65">IFERROR(XLOOKUP(C65,Data!$B$74:$B$122,Data!$A$74:$A$122,""),"")</f>
        <v/>
      </c>
      <c r="E65" s="61" t="str">
        <f t="array" ref="E65">IFERROR(XLOOKUP(C65,Data!$B$74:$B$122,Data!$C$74:$C$122,""),"")</f>
        <v/>
      </c>
      <c r="F65" s="62"/>
      <c r="G65" s="62"/>
      <c r="H65" s="63" t="str">
        <f t="shared" si="3"/>
        <v/>
      </c>
      <c r="I65" s="60" t="str">
        <f t="array" ref="I65">IFERROR(XLOOKUP(C65,Data!$B$74:$B$122,Data!$E$74:$E$122,""),"")</f>
        <v/>
      </c>
      <c r="J65" s="60"/>
      <c r="K65" s="61" t="str">
        <f t="array" ref="K65">IFERROR(XLOOKUP(C65,Data!$B$74:$B$122,Data!$F$74:$F$122,""),"")</f>
        <v/>
      </c>
      <c r="L65" s="60" t="str">
        <f t="array" ref="L65">IFERROR(XLOOKUP(C65,Data!$B$74:$B$122,Data!$G$74:$G$122,""),"")</f>
        <v/>
      </c>
      <c r="M65" s="60" t="str">
        <f t="array" ref="M65">IFERROR(XLOOKUP(C65,Data!$B$74:$B$122,Data!$H$74:$H$122,""),"")</f>
        <v/>
      </c>
      <c r="N65" s="61" t="str">
        <f t="array" ref="N65">IFERROR(XLOOKUP(C65,Data!$B$74:$B$122,Data!$I$74:$I$122,""),"")</f>
        <v/>
      </c>
      <c r="O65" s="60"/>
      <c r="P65" s="60"/>
    </row>
    <row r="66" ht="54.0" customHeight="1">
      <c r="A66" s="58" t="str">
        <f t="shared" si="1"/>
        <v/>
      </c>
      <c r="B66" s="59" t="str">
        <f t="shared" si="2"/>
        <v/>
      </c>
      <c r="C66" s="60"/>
      <c r="D66" s="61" t="str">
        <f t="array" ref="D66">IFERROR(XLOOKUP(C66,Data!$B$74:$B$122,Data!$A$74:$A$122,""),"")</f>
        <v/>
      </c>
      <c r="E66" s="61" t="str">
        <f t="array" ref="E66">IFERROR(XLOOKUP(C66,Data!$B$74:$B$122,Data!$C$74:$C$122,""),"")</f>
        <v/>
      </c>
      <c r="F66" s="62"/>
      <c r="G66" s="62"/>
      <c r="H66" s="63" t="str">
        <f t="shared" si="3"/>
        <v/>
      </c>
      <c r="I66" s="60" t="str">
        <f t="array" ref="I66">IFERROR(XLOOKUP(C66,Data!$B$74:$B$122,Data!$E$74:$E$122,""),"")</f>
        <v/>
      </c>
      <c r="J66" s="60"/>
      <c r="K66" s="61" t="str">
        <f t="array" ref="K66">IFERROR(XLOOKUP(C66,Data!$B$74:$B$122,Data!$F$74:$F$122,""),"")</f>
        <v/>
      </c>
      <c r="L66" s="60" t="str">
        <f t="array" ref="L66">IFERROR(XLOOKUP(C66,Data!$B$74:$B$122,Data!$G$74:$G$122,""),"")</f>
        <v/>
      </c>
      <c r="M66" s="60" t="str">
        <f t="array" ref="M66">IFERROR(XLOOKUP(C66,Data!$B$74:$B$122,Data!$H$74:$H$122,""),"")</f>
        <v/>
      </c>
      <c r="N66" s="61" t="str">
        <f t="array" ref="N66">IFERROR(XLOOKUP(C66,Data!$B$74:$B$122,Data!$I$74:$I$122,""),"")</f>
        <v/>
      </c>
      <c r="O66" s="60"/>
      <c r="P66" s="60"/>
    </row>
    <row r="67" ht="54.0" customHeight="1">
      <c r="A67" s="58" t="str">
        <f t="shared" si="1"/>
        <v/>
      </c>
      <c r="B67" s="59" t="str">
        <f t="shared" si="2"/>
        <v/>
      </c>
      <c r="C67" s="60"/>
      <c r="D67" s="61" t="str">
        <f t="array" ref="D67">IFERROR(XLOOKUP(C67,Data!$B$74:$B$122,Data!$A$74:$A$122,""),"")</f>
        <v/>
      </c>
      <c r="E67" s="61" t="str">
        <f t="array" ref="E67">IFERROR(XLOOKUP(C67,Data!$B$74:$B$122,Data!$C$74:$C$122,""),"")</f>
        <v/>
      </c>
      <c r="F67" s="62"/>
      <c r="G67" s="62"/>
      <c r="H67" s="63" t="str">
        <f t="shared" si="3"/>
        <v/>
      </c>
      <c r="I67" s="60" t="str">
        <f t="array" ref="I67">IFERROR(XLOOKUP(C67,Data!$B$74:$B$122,Data!$E$74:$E$122,""),"")</f>
        <v/>
      </c>
      <c r="J67" s="60"/>
      <c r="K67" s="61" t="str">
        <f t="array" ref="K67">IFERROR(XLOOKUP(C67,Data!$B$74:$B$122,Data!$F$74:$F$122,""),"")</f>
        <v/>
      </c>
      <c r="L67" s="60" t="str">
        <f t="array" ref="L67">IFERROR(XLOOKUP(C67,Data!$B$74:$B$122,Data!$G$74:$G$122,""),"")</f>
        <v/>
      </c>
      <c r="M67" s="60" t="str">
        <f t="array" ref="M67">IFERROR(XLOOKUP(C67,Data!$B$74:$B$122,Data!$H$74:$H$122,""),"")</f>
        <v/>
      </c>
      <c r="N67" s="61" t="str">
        <f t="array" ref="N67">IFERROR(XLOOKUP(C67,Data!$B$74:$B$122,Data!$I$74:$I$122,""),"")</f>
        <v/>
      </c>
      <c r="O67" s="60"/>
      <c r="P67" s="60"/>
    </row>
    <row r="68" ht="54.0" customHeight="1">
      <c r="A68" s="58" t="str">
        <f t="shared" si="1"/>
        <v/>
      </c>
      <c r="B68" s="59" t="str">
        <f t="shared" si="2"/>
        <v/>
      </c>
      <c r="C68" s="60"/>
      <c r="D68" s="61" t="str">
        <f t="array" ref="D68">IFERROR(XLOOKUP(C68,Data!$B$74:$B$122,Data!$A$74:$A$122,""),"")</f>
        <v/>
      </c>
      <c r="E68" s="61" t="str">
        <f t="array" ref="E68">IFERROR(XLOOKUP(C68,Data!$B$74:$B$122,Data!$C$74:$C$122,""),"")</f>
        <v/>
      </c>
      <c r="F68" s="62"/>
      <c r="G68" s="62"/>
      <c r="H68" s="63" t="str">
        <f t="shared" si="3"/>
        <v/>
      </c>
      <c r="I68" s="60" t="str">
        <f t="array" ref="I68">IFERROR(XLOOKUP(C68,Data!$B$74:$B$122,Data!$E$74:$E$122,""),"")</f>
        <v/>
      </c>
      <c r="J68" s="60"/>
      <c r="K68" s="61" t="str">
        <f t="array" ref="K68">IFERROR(XLOOKUP(C68,Data!$B$74:$B$122,Data!$F$74:$F$122,""),"")</f>
        <v/>
      </c>
      <c r="L68" s="60" t="str">
        <f t="array" ref="L68">IFERROR(XLOOKUP(C68,Data!$B$74:$B$122,Data!$G$74:$G$122,""),"")</f>
        <v/>
      </c>
      <c r="M68" s="60" t="str">
        <f t="array" ref="M68">IFERROR(XLOOKUP(C68,Data!$B$74:$B$122,Data!$H$74:$H$122,""),"")</f>
        <v/>
      </c>
      <c r="N68" s="61" t="str">
        <f t="array" ref="N68">IFERROR(XLOOKUP(C68,Data!$B$74:$B$122,Data!$I$74:$I$122,""),"")</f>
        <v/>
      </c>
      <c r="O68" s="60"/>
      <c r="P68" s="60"/>
    </row>
    <row r="69" ht="54.0" customHeight="1">
      <c r="A69" s="58" t="str">
        <f t="shared" si="1"/>
        <v/>
      </c>
      <c r="B69" s="59" t="str">
        <f t="shared" si="2"/>
        <v/>
      </c>
      <c r="C69" s="60"/>
      <c r="D69" s="61" t="str">
        <f t="array" ref="D69">IFERROR(XLOOKUP(C69,Data!$B$74:$B$122,Data!$A$74:$A$122,""),"")</f>
        <v/>
      </c>
      <c r="E69" s="61" t="str">
        <f t="array" ref="E69">IFERROR(XLOOKUP(C69,Data!$B$74:$B$122,Data!$C$74:$C$122,""),"")</f>
        <v/>
      </c>
      <c r="F69" s="62"/>
      <c r="G69" s="62"/>
      <c r="H69" s="63" t="str">
        <f t="shared" si="3"/>
        <v/>
      </c>
      <c r="I69" s="60" t="str">
        <f t="array" ref="I69">IFERROR(XLOOKUP(C69,Data!$B$74:$B$122,Data!$E$74:$E$122,""),"")</f>
        <v/>
      </c>
      <c r="J69" s="60"/>
      <c r="K69" s="61" t="str">
        <f t="array" ref="K69">IFERROR(XLOOKUP(C69,Data!$B$74:$B$122,Data!$F$74:$F$122,""),"")</f>
        <v/>
      </c>
      <c r="L69" s="60" t="str">
        <f t="array" ref="L69">IFERROR(XLOOKUP(C69,Data!$B$74:$B$122,Data!$G$74:$G$122,""),"")</f>
        <v/>
      </c>
      <c r="M69" s="60" t="str">
        <f t="array" ref="M69">IFERROR(XLOOKUP(C69,Data!$B$74:$B$122,Data!$H$74:$H$122,""),"")</f>
        <v/>
      </c>
      <c r="N69" s="61" t="str">
        <f t="array" ref="N69">IFERROR(XLOOKUP(C69,Data!$B$74:$B$122,Data!$I$74:$I$122,""),"")</f>
        <v/>
      </c>
      <c r="O69" s="60"/>
      <c r="P69" s="60"/>
    </row>
    <row r="70" ht="54.0" customHeight="1">
      <c r="A70" s="58" t="str">
        <f t="shared" si="1"/>
        <v/>
      </c>
      <c r="B70" s="59" t="str">
        <f t="shared" si="2"/>
        <v/>
      </c>
      <c r="C70" s="60"/>
      <c r="D70" s="61" t="str">
        <f t="array" ref="D70">IFERROR(XLOOKUP(C70,Data!$B$74:$B$122,Data!$A$74:$A$122,""),"")</f>
        <v/>
      </c>
      <c r="E70" s="61" t="str">
        <f t="array" ref="E70">IFERROR(XLOOKUP(C70,Data!$B$74:$B$122,Data!$C$74:$C$122,""),"")</f>
        <v/>
      </c>
      <c r="F70" s="62"/>
      <c r="G70" s="62"/>
      <c r="H70" s="63" t="str">
        <f t="shared" si="3"/>
        <v/>
      </c>
      <c r="I70" s="60" t="str">
        <f t="array" ref="I70">IFERROR(XLOOKUP(C70,Data!$B$74:$B$122,Data!$E$74:$E$122,""),"")</f>
        <v/>
      </c>
      <c r="J70" s="60"/>
      <c r="K70" s="61" t="str">
        <f t="array" ref="K70">IFERROR(XLOOKUP(C70,Data!$B$74:$B$122,Data!$F$74:$F$122,""),"")</f>
        <v/>
      </c>
      <c r="L70" s="60" t="str">
        <f t="array" ref="L70">IFERROR(XLOOKUP(C70,Data!$B$74:$B$122,Data!$G$74:$G$122,""),"")</f>
        <v/>
      </c>
      <c r="M70" s="60" t="str">
        <f t="array" ref="M70">IFERROR(XLOOKUP(C70,Data!$B$74:$B$122,Data!$H$74:$H$122,""),"")</f>
        <v/>
      </c>
      <c r="N70" s="61" t="str">
        <f t="array" ref="N70">IFERROR(XLOOKUP(C70,Data!$B$74:$B$122,Data!$I$74:$I$122,""),"")</f>
        <v/>
      </c>
      <c r="O70" s="60"/>
      <c r="P70" s="60"/>
    </row>
    <row r="71" ht="54.0" customHeight="1">
      <c r="A71" s="58" t="str">
        <f t="shared" si="1"/>
        <v/>
      </c>
      <c r="B71" s="59" t="str">
        <f t="shared" si="2"/>
        <v/>
      </c>
      <c r="C71" s="60"/>
      <c r="D71" s="61" t="str">
        <f t="array" ref="D71">IFERROR(XLOOKUP(C71,Data!$B$74:$B$122,Data!$A$74:$A$122,""),"")</f>
        <v/>
      </c>
      <c r="E71" s="61" t="str">
        <f t="array" ref="E71">IFERROR(XLOOKUP(C71,Data!$B$74:$B$122,Data!$C$74:$C$122,""),"")</f>
        <v/>
      </c>
      <c r="F71" s="62"/>
      <c r="G71" s="62"/>
      <c r="H71" s="63" t="str">
        <f t="shared" si="3"/>
        <v/>
      </c>
      <c r="I71" s="60" t="str">
        <f t="array" ref="I71">IFERROR(XLOOKUP(C71,Data!$B$74:$B$122,Data!$E$74:$E$122,""),"")</f>
        <v/>
      </c>
      <c r="J71" s="60"/>
      <c r="K71" s="61" t="str">
        <f t="array" ref="K71">IFERROR(XLOOKUP(C71,Data!$B$74:$B$122,Data!$F$74:$F$122,""),"")</f>
        <v/>
      </c>
      <c r="L71" s="60" t="str">
        <f t="array" ref="L71">IFERROR(XLOOKUP(C71,Data!$B$74:$B$122,Data!$G$74:$G$122,""),"")</f>
        <v/>
      </c>
      <c r="M71" s="60" t="str">
        <f t="array" ref="M71">IFERROR(XLOOKUP(C71,Data!$B$74:$B$122,Data!$H$74:$H$122,""),"")</f>
        <v/>
      </c>
      <c r="N71" s="61" t="str">
        <f t="array" ref="N71">IFERROR(XLOOKUP(C71,Data!$B$74:$B$122,Data!$I$74:$I$122,""),"")</f>
        <v/>
      </c>
      <c r="O71" s="60"/>
      <c r="P71" s="60"/>
    </row>
    <row r="72" ht="54.0" customHeight="1">
      <c r="A72" s="58" t="str">
        <f t="shared" si="1"/>
        <v/>
      </c>
      <c r="B72" s="59" t="str">
        <f t="shared" si="2"/>
        <v/>
      </c>
      <c r="C72" s="60"/>
      <c r="D72" s="61" t="str">
        <f t="array" ref="D72">IFERROR(XLOOKUP(C72,Data!$B$74:$B$122,Data!$A$74:$A$122,""),"")</f>
        <v/>
      </c>
      <c r="E72" s="61" t="str">
        <f t="array" ref="E72">IFERROR(XLOOKUP(C72,Data!$B$74:$B$122,Data!$C$74:$C$122,""),"")</f>
        <v/>
      </c>
      <c r="F72" s="62"/>
      <c r="G72" s="62"/>
      <c r="H72" s="63" t="str">
        <f t="shared" si="3"/>
        <v/>
      </c>
      <c r="I72" s="60" t="str">
        <f t="array" ref="I72">IFERROR(XLOOKUP(C72,Data!$B$74:$B$122,Data!$E$74:$E$122,""),"")</f>
        <v/>
      </c>
      <c r="J72" s="60"/>
      <c r="K72" s="61" t="str">
        <f t="array" ref="K72">IFERROR(XLOOKUP(C72,Data!$B$74:$B$122,Data!$F$74:$F$122,""),"")</f>
        <v/>
      </c>
      <c r="L72" s="60" t="str">
        <f t="array" ref="L72">IFERROR(XLOOKUP(C72,Data!$B$74:$B$122,Data!$G$74:$G$122,""),"")</f>
        <v/>
      </c>
      <c r="M72" s="60" t="str">
        <f t="array" ref="M72">IFERROR(XLOOKUP(C72,Data!$B$74:$B$122,Data!$H$74:$H$122,""),"")</f>
        <v/>
      </c>
      <c r="N72" s="61" t="str">
        <f t="array" ref="N72">IFERROR(XLOOKUP(C72,Data!$B$74:$B$122,Data!$I$74:$I$122,""),"")</f>
        <v/>
      </c>
      <c r="O72" s="60"/>
      <c r="P72" s="60"/>
    </row>
    <row r="73" ht="54.0" customHeight="1">
      <c r="A73" s="58" t="str">
        <f t="shared" si="1"/>
        <v/>
      </c>
      <c r="B73" s="59" t="str">
        <f t="shared" si="2"/>
        <v/>
      </c>
      <c r="C73" s="60"/>
      <c r="D73" s="61" t="str">
        <f t="array" ref="D73">IFERROR(XLOOKUP(C73,Data!$B$74:$B$122,Data!$A$74:$A$122,""),"")</f>
        <v/>
      </c>
      <c r="E73" s="61" t="str">
        <f t="array" ref="E73">IFERROR(XLOOKUP(C73,Data!$B$74:$B$122,Data!$C$74:$C$122,""),"")</f>
        <v/>
      </c>
      <c r="F73" s="62"/>
      <c r="G73" s="62"/>
      <c r="H73" s="63" t="str">
        <f t="shared" si="3"/>
        <v/>
      </c>
      <c r="I73" s="60" t="str">
        <f t="array" ref="I73">IFERROR(XLOOKUP(C73,Data!$B$74:$B$122,Data!$E$74:$E$122,""),"")</f>
        <v/>
      </c>
      <c r="J73" s="60"/>
      <c r="K73" s="61" t="str">
        <f t="array" ref="K73">IFERROR(XLOOKUP(C73,Data!$B$74:$B$122,Data!$F$74:$F$122,""),"")</f>
        <v/>
      </c>
      <c r="L73" s="60" t="str">
        <f t="array" ref="L73">IFERROR(XLOOKUP(C73,Data!$B$74:$B$122,Data!$G$74:$G$122,""),"")</f>
        <v/>
      </c>
      <c r="M73" s="60" t="str">
        <f t="array" ref="M73">IFERROR(XLOOKUP(C73,Data!$B$74:$B$122,Data!$H$74:$H$122,""),"")</f>
        <v/>
      </c>
      <c r="N73" s="61" t="str">
        <f t="array" ref="N73">IFERROR(XLOOKUP(C73,Data!$B$74:$B$122,Data!$I$74:$I$122,""),"")</f>
        <v/>
      </c>
      <c r="O73" s="60"/>
      <c r="P73" s="60"/>
    </row>
    <row r="74" ht="54.0" customHeight="1">
      <c r="A74" s="58" t="str">
        <f t="shared" si="1"/>
        <v/>
      </c>
      <c r="B74" s="59" t="str">
        <f t="shared" si="2"/>
        <v/>
      </c>
      <c r="C74" s="60"/>
      <c r="D74" s="61" t="str">
        <f t="array" ref="D74">IFERROR(XLOOKUP(C74,Data!$B$74:$B$122,Data!$A$74:$A$122,""),"")</f>
        <v/>
      </c>
      <c r="E74" s="61" t="str">
        <f t="array" ref="E74">IFERROR(XLOOKUP(C74,Data!$B$74:$B$122,Data!$C$74:$C$122,""),"")</f>
        <v/>
      </c>
      <c r="F74" s="62"/>
      <c r="G74" s="62"/>
      <c r="H74" s="63" t="str">
        <f t="shared" si="3"/>
        <v/>
      </c>
      <c r="I74" s="60" t="str">
        <f t="array" ref="I74">IFERROR(XLOOKUP(C74,Data!$B$74:$B$122,Data!$E$74:$E$122,""),"")</f>
        <v/>
      </c>
      <c r="J74" s="60"/>
      <c r="K74" s="61" t="str">
        <f t="array" ref="K74">IFERROR(XLOOKUP(C74,Data!$B$74:$B$122,Data!$F$74:$F$122,""),"")</f>
        <v/>
      </c>
      <c r="L74" s="60" t="str">
        <f t="array" ref="L74">IFERROR(XLOOKUP(C74,Data!$B$74:$B$122,Data!$G$74:$G$122,""),"")</f>
        <v/>
      </c>
      <c r="M74" s="60" t="str">
        <f t="array" ref="M74">IFERROR(XLOOKUP(C74,Data!$B$74:$B$122,Data!$H$74:$H$122,""),"")</f>
        <v/>
      </c>
      <c r="N74" s="61" t="str">
        <f t="array" ref="N74">IFERROR(XLOOKUP(C74,Data!$B$74:$B$122,Data!$I$74:$I$122,""),"")</f>
        <v/>
      </c>
      <c r="O74" s="60"/>
      <c r="P74" s="60"/>
    </row>
    <row r="75" ht="54.0" customHeight="1">
      <c r="A75" s="58" t="str">
        <f t="shared" si="1"/>
        <v/>
      </c>
      <c r="B75" s="59" t="str">
        <f t="shared" si="2"/>
        <v/>
      </c>
      <c r="C75" s="60"/>
      <c r="D75" s="61" t="str">
        <f t="array" ref="D75">IFERROR(XLOOKUP(C75,Data!$B$74:$B$122,Data!$A$74:$A$122,""),"")</f>
        <v/>
      </c>
      <c r="E75" s="61" t="str">
        <f t="array" ref="E75">IFERROR(XLOOKUP(C75,Data!$B$74:$B$122,Data!$C$74:$C$122,""),"")</f>
        <v/>
      </c>
      <c r="F75" s="62"/>
      <c r="G75" s="62"/>
      <c r="H75" s="63" t="str">
        <f t="shared" si="3"/>
        <v/>
      </c>
      <c r="I75" s="60" t="str">
        <f t="array" ref="I75">IFERROR(XLOOKUP(C75,Data!$B$74:$B$122,Data!$E$74:$E$122,""),"")</f>
        <v/>
      </c>
      <c r="J75" s="60"/>
      <c r="K75" s="61" t="str">
        <f t="array" ref="K75">IFERROR(XLOOKUP(C75,Data!$B$74:$B$122,Data!$F$74:$F$122,""),"")</f>
        <v/>
      </c>
      <c r="L75" s="60" t="str">
        <f t="array" ref="L75">IFERROR(XLOOKUP(C75,Data!$B$74:$B$122,Data!$G$74:$G$122,""),"")</f>
        <v/>
      </c>
      <c r="M75" s="60" t="str">
        <f t="array" ref="M75">IFERROR(XLOOKUP(C75,Data!$B$74:$B$122,Data!$H$74:$H$122,""),"")</f>
        <v/>
      </c>
      <c r="N75" s="61" t="str">
        <f t="array" ref="N75">IFERROR(XLOOKUP(C75,Data!$B$74:$B$122,Data!$I$74:$I$122,""),"")</f>
        <v/>
      </c>
      <c r="O75" s="60"/>
      <c r="P75" s="60"/>
    </row>
    <row r="76" ht="54.0" customHeight="1">
      <c r="A76" s="58" t="str">
        <f t="shared" si="1"/>
        <v/>
      </c>
      <c r="B76" s="59" t="str">
        <f t="shared" si="2"/>
        <v/>
      </c>
      <c r="C76" s="60"/>
      <c r="D76" s="61" t="str">
        <f t="array" ref="D76">IFERROR(XLOOKUP(C76,Data!$B$74:$B$122,Data!$A$74:$A$122,""),"")</f>
        <v/>
      </c>
      <c r="E76" s="61" t="str">
        <f t="array" ref="E76">IFERROR(XLOOKUP(C76,Data!$B$74:$B$122,Data!$C$74:$C$122,""),"")</f>
        <v/>
      </c>
      <c r="F76" s="62"/>
      <c r="G76" s="62"/>
      <c r="H76" s="63" t="str">
        <f t="shared" si="3"/>
        <v/>
      </c>
      <c r="I76" s="60" t="str">
        <f t="array" ref="I76">IFERROR(XLOOKUP(C76,Data!$B$74:$B$122,Data!$E$74:$E$122,""),"")</f>
        <v/>
      </c>
      <c r="J76" s="60"/>
      <c r="K76" s="61" t="str">
        <f t="array" ref="K76">IFERROR(XLOOKUP(C76,Data!$B$74:$B$122,Data!$F$74:$F$122,""),"")</f>
        <v/>
      </c>
      <c r="L76" s="60" t="str">
        <f t="array" ref="L76">IFERROR(XLOOKUP(C76,Data!$B$74:$B$122,Data!$G$74:$G$122,""),"")</f>
        <v/>
      </c>
      <c r="M76" s="60" t="str">
        <f t="array" ref="M76">IFERROR(XLOOKUP(C76,Data!$B$74:$B$122,Data!$H$74:$H$122,""),"")</f>
        <v/>
      </c>
      <c r="N76" s="61" t="str">
        <f t="array" ref="N76">IFERROR(XLOOKUP(C76,Data!$B$74:$B$122,Data!$I$74:$I$122,""),"")</f>
        <v/>
      </c>
      <c r="O76" s="60"/>
      <c r="P76" s="60"/>
    </row>
    <row r="77" ht="54.0" customHeight="1">
      <c r="A77" s="58" t="str">
        <f t="shared" si="1"/>
        <v/>
      </c>
      <c r="B77" s="59" t="str">
        <f t="shared" si="2"/>
        <v/>
      </c>
      <c r="C77" s="60"/>
      <c r="D77" s="61" t="str">
        <f t="array" ref="D77">IFERROR(XLOOKUP(C77,Data!$B$74:$B$122,Data!$A$74:$A$122,""),"")</f>
        <v/>
      </c>
      <c r="E77" s="61" t="str">
        <f t="array" ref="E77">IFERROR(XLOOKUP(C77,Data!$B$74:$B$122,Data!$C$74:$C$122,""),"")</f>
        <v/>
      </c>
      <c r="F77" s="62"/>
      <c r="G77" s="62"/>
      <c r="H77" s="63" t="str">
        <f t="shared" si="3"/>
        <v/>
      </c>
      <c r="I77" s="60" t="str">
        <f t="array" ref="I77">IFERROR(XLOOKUP(C77,Data!$B$74:$B$122,Data!$E$74:$E$122,""),"")</f>
        <v/>
      </c>
      <c r="J77" s="60"/>
      <c r="K77" s="61" t="str">
        <f t="array" ref="K77">IFERROR(XLOOKUP(C77,Data!$B$74:$B$122,Data!$F$74:$F$122,""),"")</f>
        <v/>
      </c>
      <c r="L77" s="60" t="str">
        <f t="array" ref="L77">IFERROR(XLOOKUP(C77,Data!$B$74:$B$122,Data!$G$74:$G$122,""),"")</f>
        <v/>
      </c>
      <c r="M77" s="60" t="str">
        <f t="array" ref="M77">IFERROR(XLOOKUP(C77,Data!$B$74:$B$122,Data!$H$74:$H$122,""),"")</f>
        <v/>
      </c>
      <c r="N77" s="61" t="str">
        <f t="array" ref="N77">IFERROR(XLOOKUP(C77,Data!$B$74:$B$122,Data!$I$74:$I$122,""),"")</f>
        <v/>
      </c>
      <c r="O77" s="60"/>
      <c r="P77" s="60"/>
    </row>
    <row r="78" ht="54.0" customHeight="1">
      <c r="A78" s="58" t="str">
        <f t="shared" si="1"/>
        <v/>
      </c>
      <c r="B78" s="59" t="str">
        <f t="shared" si="2"/>
        <v/>
      </c>
      <c r="C78" s="60"/>
      <c r="D78" s="61" t="str">
        <f t="array" ref="D78">IFERROR(XLOOKUP(C78,Data!$B$74:$B$122,Data!$A$74:$A$122,""),"")</f>
        <v/>
      </c>
      <c r="E78" s="61" t="str">
        <f t="array" ref="E78">IFERROR(XLOOKUP(C78,Data!$B$74:$B$122,Data!$C$74:$C$122,""),"")</f>
        <v/>
      </c>
      <c r="F78" s="62"/>
      <c r="G78" s="62"/>
      <c r="H78" s="63" t="str">
        <f t="shared" si="3"/>
        <v/>
      </c>
      <c r="I78" s="60" t="str">
        <f t="array" ref="I78">IFERROR(XLOOKUP(C78,Data!$B$74:$B$122,Data!$E$74:$E$122,""),"")</f>
        <v/>
      </c>
      <c r="J78" s="60"/>
      <c r="K78" s="61" t="str">
        <f t="array" ref="K78">IFERROR(XLOOKUP(C78,Data!$B$74:$B$122,Data!$F$74:$F$122,""),"")</f>
        <v/>
      </c>
      <c r="L78" s="60" t="str">
        <f t="array" ref="L78">IFERROR(XLOOKUP(C78,Data!$B$74:$B$122,Data!$G$74:$G$122,""),"")</f>
        <v/>
      </c>
      <c r="M78" s="60" t="str">
        <f t="array" ref="M78">IFERROR(XLOOKUP(C78,Data!$B$74:$B$122,Data!$H$74:$H$122,""),"")</f>
        <v/>
      </c>
      <c r="N78" s="61" t="str">
        <f t="array" ref="N78">IFERROR(XLOOKUP(C78,Data!$B$74:$B$122,Data!$I$74:$I$122,""),"")</f>
        <v/>
      </c>
      <c r="O78" s="60"/>
      <c r="P78" s="60"/>
    </row>
    <row r="79" ht="54.0" customHeight="1">
      <c r="A79" s="58" t="str">
        <f t="shared" si="1"/>
        <v/>
      </c>
      <c r="B79" s="59" t="str">
        <f t="shared" si="2"/>
        <v/>
      </c>
      <c r="C79" s="60"/>
      <c r="D79" s="61" t="str">
        <f t="array" ref="D79">IFERROR(XLOOKUP(C79,Data!$B$74:$B$122,Data!$A$74:$A$122,""),"")</f>
        <v/>
      </c>
      <c r="E79" s="61" t="str">
        <f t="array" ref="E79">IFERROR(XLOOKUP(C79,Data!$B$74:$B$122,Data!$C$74:$C$122,""),"")</f>
        <v/>
      </c>
      <c r="F79" s="62"/>
      <c r="G79" s="62"/>
      <c r="H79" s="63" t="str">
        <f t="shared" si="3"/>
        <v/>
      </c>
      <c r="I79" s="60" t="str">
        <f t="array" ref="I79">IFERROR(XLOOKUP(C79,Data!$B$74:$B$122,Data!$E$74:$E$122,""),"")</f>
        <v/>
      </c>
      <c r="J79" s="60"/>
      <c r="K79" s="61" t="str">
        <f t="array" ref="K79">IFERROR(XLOOKUP(C79,Data!$B$74:$B$122,Data!$F$74:$F$122,""),"")</f>
        <v/>
      </c>
      <c r="L79" s="60" t="str">
        <f t="array" ref="L79">IFERROR(XLOOKUP(C79,Data!$B$74:$B$122,Data!$G$74:$G$122,""),"")</f>
        <v/>
      </c>
      <c r="M79" s="60" t="str">
        <f t="array" ref="M79">IFERROR(XLOOKUP(C79,Data!$B$74:$B$122,Data!$H$74:$H$122,""),"")</f>
        <v/>
      </c>
      <c r="N79" s="61" t="str">
        <f t="array" ref="N79">IFERROR(XLOOKUP(C79,Data!$B$74:$B$122,Data!$I$74:$I$122,""),"")</f>
        <v/>
      </c>
      <c r="O79" s="60"/>
      <c r="P79" s="60"/>
    </row>
    <row r="80" ht="54.0" customHeight="1">
      <c r="A80" s="58" t="str">
        <f t="shared" si="1"/>
        <v/>
      </c>
      <c r="B80" s="59" t="str">
        <f t="shared" si="2"/>
        <v/>
      </c>
      <c r="C80" s="60"/>
      <c r="D80" s="61" t="str">
        <f t="array" ref="D80">IFERROR(XLOOKUP(C80,Data!$B$74:$B$122,Data!$A$74:$A$122,""),"")</f>
        <v/>
      </c>
      <c r="E80" s="61" t="str">
        <f t="array" ref="E80">IFERROR(XLOOKUP(C80,Data!$B$74:$B$122,Data!$C$74:$C$122,""),"")</f>
        <v/>
      </c>
      <c r="F80" s="62"/>
      <c r="G80" s="62"/>
      <c r="H80" s="63" t="str">
        <f t="shared" si="3"/>
        <v/>
      </c>
      <c r="I80" s="60" t="str">
        <f t="array" ref="I80">IFERROR(XLOOKUP(C80,Data!$B$74:$B$122,Data!$E$74:$E$122,""),"")</f>
        <v/>
      </c>
      <c r="J80" s="60"/>
      <c r="K80" s="61" t="str">
        <f t="array" ref="K80">IFERROR(XLOOKUP(C80,Data!$B$74:$B$122,Data!$F$74:$F$122,""),"")</f>
        <v/>
      </c>
      <c r="L80" s="60" t="str">
        <f t="array" ref="L80">IFERROR(XLOOKUP(C80,Data!$B$74:$B$122,Data!$G$74:$G$122,""),"")</f>
        <v/>
      </c>
      <c r="M80" s="60" t="str">
        <f t="array" ref="M80">IFERROR(XLOOKUP(C80,Data!$B$74:$B$122,Data!$H$74:$H$122,""),"")</f>
        <v/>
      </c>
      <c r="N80" s="61" t="str">
        <f t="array" ref="N80">IFERROR(XLOOKUP(C80,Data!$B$74:$B$122,Data!$I$74:$I$122,""),"")</f>
        <v/>
      </c>
      <c r="O80" s="60"/>
      <c r="P80" s="60"/>
    </row>
    <row r="81" ht="54.0" customHeight="1">
      <c r="A81" s="64"/>
      <c r="B81" s="65"/>
      <c r="C81" s="66"/>
      <c r="D81" s="67"/>
      <c r="E81" s="67"/>
      <c r="F81" s="68"/>
      <c r="G81" s="68"/>
      <c r="H81" s="69"/>
      <c r="I81" s="66"/>
      <c r="J81" s="66"/>
      <c r="K81" s="67"/>
      <c r="L81" s="66"/>
      <c r="M81" s="66"/>
      <c r="N81" s="67"/>
      <c r="O81" s="66"/>
      <c r="P81" s="66"/>
    </row>
    <row r="82" ht="54.0" customHeight="1">
      <c r="A82" s="64"/>
      <c r="B82" s="65"/>
      <c r="C82" s="66"/>
      <c r="D82" s="67"/>
      <c r="E82" s="67"/>
      <c r="F82" s="68"/>
      <c r="G82" s="68"/>
      <c r="H82" s="69"/>
      <c r="I82" s="66"/>
      <c r="J82" s="66"/>
      <c r="K82" s="67"/>
      <c r="L82" s="66"/>
      <c r="M82" s="66"/>
      <c r="N82" s="67"/>
      <c r="O82" s="66"/>
      <c r="P82" s="66"/>
    </row>
    <row r="83" ht="54.0" customHeight="1">
      <c r="A83" s="64"/>
      <c r="B83" s="65"/>
      <c r="C83" s="66"/>
      <c r="D83" s="67"/>
      <c r="E83" s="67"/>
      <c r="F83" s="68"/>
      <c r="G83" s="68"/>
      <c r="H83" s="69"/>
      <c r="I83" s="66"/>
      <c r="J83" s="66"/>
      <c r="K83" s="67"/>
      <c r="L83" s="66"/>
      <c r="M83" s="66"/>
      <c r="N83" s="67"/>
      <c r="O83" s="66"/>
      <c r="P83" s="66"/>
    </row>
    <row r="84" ht="54.0" customHeight="1">
      <c r="A84" s="64"/>
      <c r="B84" s="65"/>
      <c r="C84" s="66"/>
      <c r="D84" s="67"/>
      <c r="E84" s="67"/>
      <c r="F84" s="68"/>
      <c r="G84" s="68"/>
      <c r="H84" s="69"/>
      <c r="I84" s="66"/>
      <c r="J84" s="66"/>
      <c r="K84" s="67"/>
      <c r="L84" s="66"/>
      <c r="M84" s="66"/>
      <c r="N84" s="67"/>
      <c r="O84" s="66"/>
      <c r="P84" s="66"/>
    </row>
    <row r="85" ht="54.0" customHeight="1">
      <c r="A85" s="64"/>
      <c r="B85" s="65"/>
      <c r="C85" s="66"/>
      <c r="D85" s="67"/>
      <c r="E85" s="67"/>
      <c r="F85" s="68"/>
      <c r="G85" s="68"/>
      <c r="H85" s="69"/>
      <c r="I85" s="66"/>
      <c r="J85" s="66"/>
      <c r="K85" s="67"/>
      <c r="L85" s="66"/>
      <c r="M85" s="66"/>
      <c r="N85" s="67"/>
      <c r="O85" s="66"/>
      <c r="P85" s="66"/>
    </row>
    <row r="86" ht="54.0" customHeight="1">
      <c r="A86" s="64"/>
      <c r="B86" s="65"/>
      <c r="C86" s="66"/>
      <c r="D86" s="67"/>
      <c r="E86" s="67"/>
      <c r="F86" s="68"/>
      <c r="G86" s="68"/>
      <c r="H86" s="69"/>
      <c r="I86" s="66"/>
      <c r="J86" s="66"/>
      <c r="K86" s="67"/>
      <c r="L86" s="66"/>
      <c r="M86" s="66"/>
      <c r="N86" s="67"/>
      <c r="O86" s="66"/>
      <c r="P86" s="66"/>
    </row>
    <row r="87" ht="54.0" customHeight="1">
      <c r="A87" s="64"/>
      <c r="B87" s="65"/>
      <c r="C87" s="66"/>
      <c r="D87" s="67"/>
      <c r="E87" s="67"/>
      <c r="F87" s="68"/>
      <c r="G87" s="68"/>
      <c r="H87" s="69"/>
      <c r="I87" s="66"/>
      <c r="J87" s="66"/>
      <c r="K87" s="67"/>
      <c r="L87" s="66"/>
      <c r="M87" s="66"/>
      <c r="N87" s="67"/>
      <c r="O87" s="66"/>
      <c r="P87" s="66"/>
    </row>
    <row r="88" ht="54.0" customHeight="1">
      <c r="A88" s="64"/>
      <c r="B88" s="65"/>
      <c r="C88" s="66"/>
      <c r="D88" s="67"/>
      <c r="E88" s="67"/>
      <c r="F88" s="68"/>
      <c r="G88" s="68"/>
      <c r="H88" s="69"/>
      <c r="I88" s="66"/>
      <c r="J88" s="66"/>
      <c r="K88" s="67"/>
      <c r="L88" s="66"/>
      <c r="M88" s="66"/>
      <c r="N88" s="67"/>
      <c r="O88" s="66"/>
      <c r="P88" s="66"/>
    </row>
    <row r="89" ht="54.0" customHeight="1">
      <c r="A89" s="64"/>
      <c r="B89" s="65"/>
      <c r="C89" s="66"/>
      <c r="D89" s="67"/>
      <c r="E89" s="67"/>
      <c r="F89" s="68"/>
      <c r="G89" s="68"/>
      <c r="H89" s="69"/>
      <c r="I89" s="66"/>
      <c r="J89" s="66"/>
      <c r="K89" s="67"/>
      <c r="L89" s="66"/>
      <c r="M89" s="66"/>
      <c r="N89" s="67"/>
      <c r="O89" s="66"/>
      <c r="P89" s="66"/>
    </row>
    <row r="90" ht="54.0" customHeight="1">
      <c r="A90" s="64"/>
      <c r="B90" s="65"/>
      <c r="C90" s="66"/>
      <c r="D90" s="67"/>
      <c r="E90" s="67"/>
      <c r="F90" s="68"/>
      <c r="G90" s="68"/>
      <c r="H90" s="69"/>
      <c r="I90" s="66"/>
      <c r="J90" s="66"/>
      <c r="K90" s="67"/>
      <c r="L90" s="66"/>
      <c r="M90" s="66"/>
      <c r="N90" s="67"/>
      <c r="O90" s="66"/>
      <c r="P90" s="66"/>
    </row>
    <row r="91" ht="54.0" customHeight="1">
      <c r="A91" s="64"/>
      <c r="B91" s="65"/>
      <c r="C91" s="66"/>
      <c r="D91" s="67"/>
      <c r="E91" s="67"/>
      <c r="F91" s="68"/>
      <c r="G91" s="68"/>
      <c r="H91" s="69"/>
      <c r="I91" s="66"/>
      <c r="J91" s="66"/>
      <c r="K91" s="67"/>
      <c r="L91" s="66"/>
      <c r="M91" s="66"/>
      <c r="N91" s="67"/>
      <c r="O91" s="66"/>
      <c r="P91" s="66"/>
    </row>
    <row r="92" ht="54.0" customHeight="1">
      <c r="A92" s="64"/>
      <c r="B92" s="65"/>
      <c r="C92" s="66"/>
      <c r="D92" s="67"/>
      <c r="E92" s="67"/>
      <c r="F92" s="68"/>
      <c r="G92" s="68"/>
      <c r="H92" s="69"/>
      <c r="I92" s="66"/>
      <c r="J92" s="66"/>
      <c r="K92" s="67"/>
      <c r="L92" s="66"/>
      <c r="M92" s="66"/>
      <c r="N92" s="67"/>
      <c r="O92" s="66"/>
      <c r="P92" s="66"/>
    </row>
    <row r="93" ht="54.0" customHeight="1">
      <c r="A93" s="64"/>
      <c r="B93" s="65"/>
      <c r="C93" s="66"/>
      <c r="D93" s="67"/>
      <c r="E93" s="67"/>
      <c r="F93" s="68"/>
      <c r="G93" s="68"/>
      <c r="H93" s="69"/>
      <c r="I93" s="66"/>
      <c r="J93" s="66"/>
      <c r="K93" s="67"/>
      <c r="L93" s="66"/>
      <c r="M93" s="66"/>
      <c r="N93" s="67"/>
      <c r="O93" s="66"/>
      <c r="P93" s="66"/>
    </row>
    <row r="94" ht="54.0" customHeight="1">
      <c r="A94" s="64"/>
      <c r="B94" s="65"/>
      <c r="C94" s="66"/>
      <c r="D94" s="67"/>
      <c r="E94" s="67"/>
      <c r="F94" s="68"/>
      <c r="G94" s="68"/>
      <c r="H94" s="69"/>
      <c r="I94" s="66"/>
      <c r="J94" s="66"/>
      <c r="K94" s="67"/>
      <c r="L94" s="66"/>
      <c r="M94" s="66"/>
      <c r="N94" s="67"/>
      <c r="O94" s="66"/>
      <c r="P94" s="66"/>
    </row>
    <row r="95" ht="54.0" customHeight="1">
      <c r="A95" s="64"/>
      <c r="B95" s="65"/>
      <c r="C95" s="66"/>
      <c r="D95" s="67"/>
      <c r="E95" s="67"/>
      <c r="F95" s="68"/>
      <c r="G95" s="68"/>
      <c r="H95" s="69"/>
      <c r="I95" s="66"/>
      <c r="J95" s="66"/>
      <c r="K95" s="67"/>
      <c r="L95" s="66"/>
      <c r="M95" s="66"/>
      <c r="N95" s="67"/>
      <c r="O95" s="66"/>
      <c r="P95" s="66"/>
    </row>
    <row r="96" ht="54.0" customHeight="1">
      <c r="A96" s="64"/>
      <c r="B96" s="65"/>
      <c r="C96" s="66"/>
      <c r="D96" s="67"/>
      <c r="E96" s="67"/>
      <c r="F96" s="68"/>
      <c r="G96" s="68"/>
      <c r="H96" s="69"/>
      <c r="I96" s="66"/>
      <c r="J96" s="66"/>
      <c r="K96" s="67"/>
      <c r="L96" s="66"/>
      <c r="M96" s="66"/>
      <c r="N96" s="67"/>
      <c r="O96" s="66"/>
      <c r="P96" s="66"/>
    </row>
    <row r="97" ht="54.0" customHeight="1">
      <c r="A97" s="64"/>
      <c r="B97" s="65"/>
      <c r="C97" s="66"/>
      <c r="D97" s="67"/>
      <c r="E97" s="67"/>
      <c r="F97" s="68"/>
      <c r="G97" s="68"/>
      <c r="H97" s="69"/>
      <c r="I97" s="66"/>
      <c r="J97" s="66"/>
      <c r="K97" s="67"/>
      <c r="L97" s="66"/>
      <c r="M97" s="66"/>
      <c r="N97" s="67"/>
      <c r="O97" s="66"/>
      <c r="P97" s="66"/>
    </row>
    <row r="98" ht="54.0" customHeight="1">
      <c r="A98" s="64"/>
      <c r="B98" s="65"/>
      <c r="C98" s="66"/>
      <c r="D98" s="67"/>
      <c r="E98" s="67"/>
      <c r="F98" s="68"/>
      <c r="G98" s="68"/>
      <c r="H98" s="69"/>
      <c r="I98" s="66"/>
      <c r="J98" s="66"/>
      <c r="K98" s="67"/>
      <c r="L98" s="66"/>
      <c r="M98" s="66"/>
      <c r="N98" s="67"/>
      <c r="O98" s="66"/>
      <c r="P98" s="66"/>
    </row>
    <row r="99" ht="54.0" customHeight="1">
      <c r="A99" s="64"/>
      <c r="B99" s="65"/>
      <c r="C99" s="66"/>
      <c r="D99" s="67"/>
      <c r="E99" s="67"/>
      <c r="F99" s="68"/>
      <c r="G99" s="68"/>
      <c r="H99" s="69"/>
      <c r="I99" s="66"/>
      <c r="J99" s="66"/>
      <c r="K99" s="67"/>
      <c r="L99" s="66"/>
      <c r="M99" s="66"/>
      <c r="N99" s="67"/>
      <c r="O99" s="66"/>
      <c r="P99" s="66"/>
    </row>
    <row r="100" ht="54.0" customHeight="1">
      <c r="A100" s="64"/>
      <c r="B100" s="65"/>
      <c r="C100" s="66"/>
      <c r="D100" s="67"/>
      <c r="E100" s="67"/>
      <c r="F100" s="68"/>
      <c r="G100" s="68"/>
      <c r="H100" s="69"/>
      <c r="I100" s="66"/>
      <c r="J100" s="66"/>
      <c r="K100" s="67"/>
      <c r="L100" s="66"/>
      <c r="M100" s="66"/>
      <c r="N100" s="67"/>
      <c r="O100" s="66"/>
      <c r="P100" s="66"/>
    </row>
    <row r="101" ht="54.0" customHeight="1">
      <c r="A101" s="64"/>
      <c r="B101" s="65"/>
      <c r="C101" s="66"/>
      <c r="D101" s="67"/>
      <c r="E101" s="67"/>
      <c r="F101" s="68"/>
      <c r="G101" s="68"/>
      <c r="H101" s="69"/>
      <c r="I101" s="66"/>
      <c r="J101" s="66"/>
      <c r="K101" s="67"/>
      <c r="L101" s="66"/>
      <c r="M101" s="66"/>
      <c r="N101" s="67"/>
      <c r="O101" s="66"/>
      <c r="P101" s="66"/>
    </row>
    <row r="102" ht="54.0" customHeight="1">
      <c r="A102" s="64"/>
      <c r="B102" s="65"/>
      <c r="C102" s="66"/>
      <c r="D102" s="67"/>
      <c r="E102" s="67"/>
      <c r="F102" s="68"/>
      <c r="G102" s="68"/>
      <c r="H102" s="69"/>
      <c r="I102" s="66"/>
      <c r="J102" s="66"/>
      <c r="K102" s="67"/>
      <c r="L102" s="66"/>
      <c r="M102" s="66"/>
      <c r="N102" s="67"/>
      <c r="O102" s="66"/>
      <c r="P102" s="66"/>
    </row>
    <row r="103" ht="54.0" customHeight="1">
      <c r="A103" s="64"/>
      <c r="B103" s="65"/>
      <c r="C103" s="66"/>
      <c r="D103" s="67"/>
      <c r="E103" s="67"/>
      <c r="F103" s="68"/>
      <c r="G103" s="68"/>
      <c r="H103" s="69"/>
      <c r="I103" s="66"/>
      <c r="J103" s="66"/>
      <c r="K103" s="67"/>
      <c r="L103" s="66"/>
      <c r="M103" s="66"/>
      <c r="N103" s="67"/>
      <c r="O103" s="66"/>
      <c r="P103" s="66"/>
    </row>
    <row r="104" ht="54.0" customHeight="1">
      <c r="A104" s="64"/>
      <c r="B104" s="65"/>
      <c r="C104" s="66"/>
      <c r="D104" s="67"/>
      <c r="E104" s="67"/>
      <c r="F104" s="68"/>
      <c r="G104" s="68"/>
      <c r="H104" s="69"/>
      <c r="I104" s="66"/>
      <c r="J104" s="66"/>
      <c r="K104" s="67"/>
      <c r="L104" s="66"/>
      <c r="M104" s="66"/>
      <c r="N104" s="67"/>
      <c r="O104" s="66"/>
      <c r="P104" s="66"/>
    </row>
    <row r="105" ht="54.0" customHeight="1">
      <c r="A105" s="64"/>
      <c r="B105" s="65"/>
      <c r="C105" s="66"/>
      <c r="D105" s="67"/>
      <c r="E105" s="67"/>
      <c r="F105" s="68"/>
      <c r="G105" s="68"/>
      <c r="H105" s="69"/>
      <c r="I105" s="66"/>
      <c r="J105" s="66"/>
      <c r="K105" s="67"/>
      <c r="L105" s="66"/>
      <c r="M105" s="66"/>
      <c r="N105" s="67"/>
      <c r="O105" s="66"/>
      <c r="P105" s="66"/>
    </row>
    <row r="106" ht="54.0" customHeight="1">
      <c r="A106" s="64"/>
      <c r="B106" s="65"/>
      <c r="C106" s="66"/>
      <c r="D106" s="67"/>
      <c r="E106" s="67"/>
      <c r="F106" s="68"/>
      <c r="G106" s="68"/>
      <c r="H106" s="69"/>
      <c r="I106" s="66"/>
      <c r="J106" s="66"/>
      <c r="K106" s="67"/>
      <c r="L106" s="66"/>
      <c r="M106" s="66"/>
      <c r="N106" s="67"/>
      <c r="O106" s="66"/>
      <c r="P106" s="66"/>
    </row>
    <row r="107" ht="54.0" customHeight="1">
      <c r="A107" s="64"/>
      <c r="B107" s="65"/>
      <c r="C107" s="66"/>
      <c r="D107" s="67"/>
      <c r="E107" s="67"/>
      <c r="F107" s="68"/>
      <c r="G107" s="68"/>
      <c r="H107" s="69"/>
      <c r="I107" s="66"/>
      <c r="J107" s="66"/>
      <c r="K107" s="67"/>
      <c r="L107" s="66"/>
      <c r="M107" s="66"/>
      <c r="N107" s="67"/>
      <c r="O107" s="66"/>
      <c r="P107" s="66"/>
    </row>
    <row r="108" ht="54.0" customHeight="1">
      <c r="A108" s="64"/>
      <c r="B108" s="65"/>
      <c r="C108" s="66"/>
      <c r="D108" s="67"/>
      <c r="E108" s="67"/>
      <c r="F108" s="68"/>
      <c r="G108" s="68"/>
      <c r="H108" s="69"/>
      <c r="I108" s="66"/>
      <c r="J108" s="66"/>
      <c r="K108" s="67"/>
      <c r="L108" s="66"/>
      <c r="M108" s="66"/>
      <c r="N108" s="67"/>
      <c r="O108" s="66"/>
      <c r="P108" s="66"/>
    </row>
    <row r="109" ht="54.0" customHeight="1">
      <c r="A109" s="64"/>
      <c r="B109" s="65"/>
      <c r="C109" s="66"/>
      <c r="D109" s="67"/>
      <c r="E109" s="67"/>
      <c r="F109" s="68"/>
      <c r="G109" s="68"/>
      <c r="H109" s="69"/>
      <c r="I109" s="66"/>
      <c r="J109" s="66"/>
      <c r="K109" s="67"/>
      <c r="L109" s="66"/>
      <c r="M109" s="66"/>
      <c r="N109" s="67"/>
      <c r="O109" s="66"/>
      <c r="P109" s="66"/>
    </row>
    <row r="110" ht="54.0" customHeight="1">
      <c r="A110" s="64"/>
      <c r="B110" s="65"/>
      <c r="C110" s="66"/>
      <c r="D110" s="67"/>
      <c r="E110" s="67"/>
      <c r="F110" s="68"/>
      <c r="G110" s="68"/>
      <c r="H110" s="69"/>
      <c r="I110" s="66"/>
      <c r="J110" s="66"/>
      <c r="K110" s="67"/>
      <c r="L110" s="66"/>
      <c r="M110" s="66"/>
      <c r="N110" s="67"/>
      <c r="O110" s="66"/>
      <c r="P110" s="66"/>
    </row>
    <row r="111" ht="54.0" customHeight="1">
      <c r="A111" s="64"/>
      <c r="B111" s="65"/>
      <c r="C111" s="66"/>
      <c r="D111" s="67"/>
      <c r="E111" s="67"/>
      <c r="F111" s="68"/>
      <c r="G111" s="68"/>
      <c r="H111" s="69"/>
      <c r="I111" s="66"/>
      <c r="J111" s="66"/>
      <c r="K111" s="67"/>
      <c r="L111" s="66"/>
      <c r="M111" s="66"/>
      <c r="N111" s="67"/>
      <c r="O111" s="66"/>
      <c r="P111" s="66"/>
    </row>
    <row r="112" ht="54.0" customHeight="1">
      <c r="A112" s="64"/>
      <c r="B112" s="65"/>
      <c r="C112" s="66"/>
      <c r="D112" s="67"/>
      <c r="E112" s="67"/>
      <c r="F112" s="68"/>
      <c r="G112" s="68"/>
      <c r="H112" s="69"/>
      <c r="I112" s="66"/>
      <c r="J112" s="66"/>
      <c r="K112" s="67"/>
      <c r="L112" s="66"/>
      <c r="M112" s="66"/>
      <c r="N112" s="67"/>
      <c r="O112" s="66"/>
      <c r="P112" s="66"/>
    </row>
    <row r="113" ht="54.0" customHeight="1">
      <c r="A113" s="64"/>
      <c r="B113" s="65"/>
      <c r="C113" s="66"/>
      <c r="D113" s="67"/>
      <c r="E113" s="67"/>
      <c r="F113" s="68"/>
      <c r="G113" s="68"/>
      <c r="H113" s="69"/>
      <c r="I113" s="66"/>
      <c r="J113" s="66"/>
      <c r="K113" s="67"/>
      <c r="L113" s="66"/>
      <c r="M113" s="66"/>
      <c r="N113" s="67"/>
      <c r="O113" s="66"/>
      <c r="P113" s="66"/>
    </row>
    <row r="114" ht="54.0" customHeight="1">
      <c r="A114" s="64"/>
      <c r="B114" s="65"/>
      <c r="C114" s="66"/>
      <c r="D114" s="67"/>
      <c r="E114" s="67"/>
      <c r="F114" s="68"/>
      <c r="G114" s="68"/>
      <c r="H114" s="69"/>
      <c r="I114" s="66"/>
      <c r="J114" s="66"/>
      <c r="K114" s="67"/>
      <c r="L114" s="66"/>
      <c r="M114" s="66"/>
      <c r="N114" s="67"/>
      <c r="O114" s="66"/>
      <c r="P114" s="66"/>
    </row>
    <row r="115" ht="54.0" customHeight="1">
      <c r="A115" s="64"/>
      <c r="B115" s="65"/>
      <c r="C115" s="66"/>
      <c r="D115" s="67"/>
      <c r="E115" s="67"/>
      <c r="F115" s="68"/>
      <c r="G115" s="68"/>
      <c r="H115" s="69"/>
      <c r="I115" s="66"/>
      <c r="J115" s="66"/>
      <c r="K115" s="67"/>
      <c r="L115" s="66"/>
      <c r="M115" s="66"/>
      <c r="N115" s="67"/>
      <c r="O115" s="66"/>
      <c r="P115" s="66"/>
    </row>
    <row r="116" ht="54.0" customHeight="1">
      <c r="A116" s="64"/>
      <c r="B116" s="65"/>
      <c r="C116" s="66"/>
      <c r="D116" s="67"/>
      <c r="E116" s="67"/>
      <c r="F116" s="68"/>
      <c r="G116" s="68"/>
      <c r="H116" s="69"/>
      <c r="I116" s="66"/>
      <c r="J116" s="66"/>
      <c r="K116" s="67"/>
      <c r="L116" s="66"/>
      <c r="M116" s="66"/>
      <c r="N116" s="67"/>
      <c r="O116" s="66"/>
      <c r="P116" s="66"/>
    </row>
    <row r="117" ht="54.0" customHeight="1">
      <c r="A117" s="64"/>
      <c r="B117" s="65"/>
      <c r="C117" s="66"/>
      <c r="D117" s="67"/>
      <c r="E117" s="67"/>
      <c r="F117" s="68"/>
      <c r="G117" s="68"/>
      <c r="H117" s="69"/>
      <c r="I117" s="66"/>
      <c r="J117" s="66"/>
      <c r="K117" s="67"/>
      <c r="L117" s="66"/>
      <c r="M117" s="66"/>
      <c r="N117" s="67"/>
      <c r="O117" s="66"/>
      <c r="P117" s="66"/>
    </row>
    <row r="118" ht="54.0" customHeight="1">
      <c r="A118" s="64"/>
      <c r="B118" s="65"/>
      <c r="C118" s="66"/>
      <c r="D118" s="67"/>
      <c r="E118" s="67"/>
      <c r="F118" s="68"/>
      <c r="G118" s="68"/>
      <c r="H118" s="69"/>
      <c r="I118" s="66"/>
      <c r="J118" s="66"/>
      <c r="K118" s="67"/>
      <c r="L118" s="66"/>
      <c r="M118" s="66"/>
      <c r="N118" s="67"/>
      <c r="O118" s="66"/>
      <c r="P118" s="66"/>
    </row>
    <row r="119" ht="54.0" customHeight="1">
      <c r="A119" s="64"/>
      <c r="B119" s="65"/>
      <c r="C119" s="66"/>
      <c r="D119" s="67"/>
      <c r="E119" s="67"/>
      <c r="F119" s="68"/>
      <c r="G119" s="68"/>
      <c r="H119" s="69"/>
      <c r="I119" s="66"/>
      <c r="J119" s="66"/>
      <c r="K119" s="67"/>
      <c r="L119" s="66"/>
      <c r="M119" s="66"/>
      <c r="N119" s="67"/>
      <c r="O119" s="66"/>
      <c r="P119" s="66"/>
    </row>
    <row r="120" ht="54.0" customHeight="1">
      <c r="A120" s="64"/>
      <c r="B120" s="65"/>
      <c r="C120" s="66"/>
      <c r="D120" s="67"/>
      <c r="E120" s="67"/>
      <c r="F120" s="68"/>
      <c r="G120" s="68"/>
      <c r="H120" s="69"/>
      <c r="I120" s="66"/>
      <c r="J120" s="66"/>
      <c r="K120" s="67"/>
      <c r="L120" s="66"/>
      <c r="M120" s="66"/>
      <c r="N120" s="67"/>
      <c r="O120" s="66"/>
      <c r="P120" s="66"/>
    </row>
    <row r="121" ht="54.0" customHeight="1">
      <c r="A121" s="64"/>
      <c r="B121" s="65"/>
      <c r="C121" s="66"/>
      <c r="D121" s="67"/>
      <c r="E121" s="67"/>
      <c r="F121" s="68"/>
      <c r="G121" s="68"/>
      <c r="H121" s="69"/>
      <c r="I121" s="66"/>
      <c r="J121" s="66"/>
      <c r="K121" s="67"/>
      <c r="L121" s="66"/>
      <c r="M121" s="66"/>
      <c r="N121" s="67"/>
      <c r="O121" s="66"/>
      <c r="P121" s="66"/>
    </row>
    <row r="122" ht="54.0" customHeight="1">
      <c r="A122" s="64"/>
      <c r="B122" s="65"/>
      <c r="C122" s="66"/>
      <c r="D122" s="67"/>
      <c r="E122" s="67"/>
      <c r="F122" s="68"/>
      <c r="G122" s="68"/>
      <c r="H122" s="69"/>
      <c r="I122" s="66"/>
      <c r="J122" s="66"/>
      <c r="K122" s="67"/>
      <c r="L122" s="66"/>
      <c r="M122" s="66"/>
      <c r="N122" s="67"/>
      <c r="O122" s="66"/>
      <c r="P122" s="66"/>
    </row>
    <row r="123" ht="54.0" customHeight="1">
      <c r="A123" s="64"/>
      <c r="B123" s="65"/>
      <c r="C123" s="66"/>
      <c r="D123" s="67"/>
      <c r="E123" s="67"/>
      <c r="F123" s="68"/>
      <c r="G123" s="68"/>
      <c r="H123" s="69"/>
      <c r="I123" s="66"/>
      <c r="J123" s="66"/>
      <c r="K123" s="67"/>
      <c r="L123" s="66"/>
      <c r="M123" s="66"/>
      <c r="N123" s="67"/>
      <c r="O123" s="66"/>
      <c r="P123" s="66"/>
    </row>
    <row r="124" ht="54.0" customHeight="1">
      <c r="A124" s="64"/>
      <c r="B124" s="65"/>
      <c r="C124" s="66"/>
      <c r="D124" s="67"/>
      <c r="E124" s="67"/>
      <c r="F124" s="68"/>
      <c r="G124" s="68"/>
      <c r="H124" s="69"/>
      <c r="I124" s="66"/>
      <c r="J124" s="66"/>
      <c r="K124" s="67"/>
      <c r="L124" s="66"/>
      <c r="M124" s="66"/>
      <c r="N124" s="67"/>
      <c r="O124" s="66"/>
      <c r="P124" s="66"/>
    </row>
    <row r="125" ht="54.0" customHeight="1">
      <c r="A125" s="64"/>
      <c r="B125" s="65"/>
      <c r="C125" s="66"/>
      <c r="D125" s="67"/>
      <c r="E125" s="67"/>
      <c r="F125" s="68"/>
      <c r="G125" s="68"/>
      <c r="H125" s="69"/>
      <c r="I125" s="66"/>
      <c r="J125" s="66"/>
      <c r="K125" s="67"/>
      <c r="L125" s="66"/>
      <c r="M125" s="66"/>
      <c r="N125" s="67"/>
      <c r="O125" s="66"/>
      <c r="P125" s="66"/>
    </row>
    <row r="126" ht="54.0" customHeight="1">
      <c r="A126" s="64"/>
      <c r="B126" s="65"/>
      <c r="C126" s="66"/>
      <c r="D126" s="67"/>
      <c r="E126" s="67"/>
      <c r="F126" s="68"/>
      <c r="G126" s="68"/>
      <c r="H126" s="69"/>
      <c r="I126" s="66"/>
      <c r="J126" s="66"/>
      <c r="K126" s="67"/>
      <c r="L126" s="66"/>
      <c r="M126" s="66"/>
      <c r="N126" s="67"/>
      <c r="O126" s="66"/>
      <c r="P126" s="66"/>
    </row>
    <row r="127" ht="54.0" customHeight="1">
      <c r="A127" s="64"/>
      <c r="B127" s="65"/>
      <c r="C127" s="66"/>
      <c r="D127" s="67"/>
      <c r="E127" s="67"/>
      <c r="F127" s="68"/>
      <c r="G127" s="68"/>
      <c r="H127" s="69"/>
      <c r="I127" s="66"/>
      <c r="J127" s="66"/>
      <c r="K127" s="67"/>
      <c r="L127" s="66"/>
      <c r="M127" s="66"/>
      <c r="N127" s="67"/>
      <c r="O127" s="66"/>
      <c r="P127" s="66"/>
    </row>
    <row r="128" ht="54.0" customHeight="1">
      <c r="A128" s="64"/>
      <c r="B128" s="65"/>
      <c r="C128" s="66"/>
      <c r="D128" s="67"/>
      <c r="E128" s="67"/>
      <c r="F128" s="68"/>
      <c r="G128" s="68"/>
      <c r="H128" s="69"/>
      <c r="I128" s="66"/>
      <c r="J128" s="66"/>
      <c r="K128" s="67"/>
      <c r="L128" s="66"/>
      <c r="M128" s="66"/>
      <c r="N128" s="67"/>
      <c r="O128" s="66"/>
      <c r="P128" s="66"/>
    </row>
    <row r="129" ht="54.0" customHeight="1">
      <c r="A129" s="64"/>
      <c r="B129" s="65"/>
      <c r="C129" s="66"/>
      <c r="D129" s="67"/>
      <c r="E129" s="67"/>
      <c r="F129" s="68"/>
      <c r="G129" s="68"/>
      <c r="H129" s="69"/>
      <c r="I129" s="66"/>
      <c r="J129" s="66"/>
      <c r="K129" s="67"/>
      <c r="L129" s="66"/>
      <c r="M129" s="66"/>
      <c r="N129" s="67"/>
      <c r="O129" s="66"/>
      <c r="P129" s="66"/>
    </row>
    <row r="130" ht="54.0" customHeight="1">
      <c r="A130" s="64"/>
      <c r="B130" s="65"/>
      <c r="C130" s="66"/>
      <c r="D130" s="67"/>
      <c r="E130" s="67"/>
      <c r="F130" s="68"/>
      <c r="G130" s="68"/>
      <c r="H130" s="69"/>
      <c r="I130" s="66"/>
      <c r="J130" s="66"/>
      <c r="K130" s="67"/>
      <c r="L130" s="66"/>
      <c r="M130" s="66"/>
      <c r="N130" s="67"/>
      <c r="O130" s="66"/>
      <c r="P130" s="66"/>
    </row>
    <row r="131" ht="54.0" customHeight="1">
      <c r="A131" s="64"/>
      <c r="B131" s="65"/>
      <c r="C131" s="66"/>
      <c r="D131" s="67"/>
      <c r="E131" s="67"/>
      <c r="F131" s="68"/>
      <c r="G131" s="68"/>
      <c r="H131" s="69"/>
      <c r="I131" s="66"/>
      <c r="J131" s="66"/>
      <c r="K131" s="67"/>
      <c r="L131" s="66"/>
      <c r="M131" s="66"/>
      <c r="N131" s="67"/>
      <c r="O131" s="66"/>
      <c r="P131" s="66"/>
    </row>
    <row r="132" ht="54.0" customHeight="1">
      <c r="A132" s="64"/>
      <c r="B132" s="65"/>
      <c r="C132" s="66"/>
      <c r="D132" s="67"/>
      <c r="E132" s="67"/>
      <c r="F132" s="68"/>
      <c r="G132" s="68"/>
      <c r="H132" s="69"/>
      <c r="I132" s="66"/>
      <c r="J132" s="66"/>
      <c r="K132" s="67"/>
      <c r="L132" s="66"/>
      <c r="M132" s="66"/>
      <c r="N132" s="67"/>
      <c r="O132" s="66"/>
      <c r="P132" s="66"/>
    </row>
    <row r="133" ht="54.0" customHeight="1">
      <c r="A133" s="64"/>
      <c r="B133" s="65"/>
      <c r="C133" s="66"/>
      <c r="D133" s="67"/>
      <c r="E133" s="67"/>
      <c r="F133" s="68"/>
      <c r="G133" s="68"/>
      <c r="H133" s="69"/>
      <c r="I133" s="66"/>
      <c r="J133" s="66"/>
      <c r="K133" s="67"/>
      <c r="L133" s="66"/>
      <c r="M133" s="66"/>
      <c r="N133" s="67"/>
      <c r="O133" s="66"/>
      <c r="P133" s="66"/>
    </row>
    <row r="134" ht="54.0" customHeight="1">
      <c r="A134" s="64"/>
      <c r="B134" s="65"/>
      <c r="C134" s="66"/>
      <c r="D134" s="67"/>
      <c r="E134" s="67"/>
      <c r="F134" s="68"/>
      <c r="G134" s="68"/>
      <c r="H134" s="69"/>
      <c r="I134" s="66"/>
      <c r="J134" s="66"/>
      <c r="K134" s="67"/>
      <c r="L134" s="66"/>
      <c r="M134" s="66"/>
      <c r="N134" s="67"/>
      <c r="O134" s="66"/>
      <c r="P134" s="66"/>
    </row>
    <row r="135" ht="54.0" customHeight="1">
      <c r="A135" s="64"/>
      <c r="B135" s="65"/>
      <c r="C135" s="66"/>
      <c r="D135" s="67"/>
      <c r="E135" s="67"/>
      <c r="F135" s="68"/>
      <c r="G135" s="68"/>
      <c r="H135" s="69"/>
      <c r="I135" s="66"/>
      <c r="J135" s="66"/>
      <c r="K135" s="67"/>
      <c r="L135" s="66"/>
      <c r="M135" s="66"/>
      <c r="N135" s="67"/>
      <c r="O135" s="66"/>
      <c r="P135" s="66"/>
    </row>
    <row r="136" ht="54.0" customHeight="1">
      <c r="A136" s="64"/>
      <c r="B136" s="65"/>
      <c r="C136" s="66"/>
      <c r="D136" s="67"/>
      <c r="E136" s="67"/>
      <c r="F136" s="68"/>
      <c r="G136" s="68"/>
      <c r="H136" s="69"/>
      <c r="I136" s="66"/>
      <c r="J136" s="66"/>
      <c r="K136" s="67"/>
      <c r="L136" s="66"/>
      <c r="M136" s="66"/>
      <c r="N136" s="67"/>
      <c r="O136" s="66"/>
      <c r="P136" s="66"/>
    </row>
    <row r="137" ht="54.0" customHeight="1">
      <c r="A137" s="64"/>
      <c r="B137" s="65"/>
      <c r="C137" s="66"/>
      <c r="D137" s="67"/>
      <c r="E137" s="67"/>
      <c r="F137" s="68"/>
      <c r="G137" s="68"/>
      <c r="H137" s="69"/>
      <c r="I137" s="66"/>
      <c r="J137" s="66"/>
      <c r="K137" s="67"/>
      <c r="L137" s="66"/>
      <c r="M137" s="66"/>
      <c r="N137" s="67"/>
      <c r="O137" s="66"/>
      <c r="P137" s="66"/>
    </row>
    <row r="138" ht="54.0" customHeight="1">
      <c r="A138" s="64"/>
      <c r="B138" s="65"/>
      <c r="C138" s="66"/>
      <c r="D138" s="67"/>
      <c r="E138" s="67"/>
      <c r="F138" s="68"/>
      <c r="G138" s="68"/>
      <c r="H138" s="69"/>
      <c r="I138" s="66"/>
      <c r="J138" s="66"/>
      <c r="K138" s="67"/>
      <c r="L138" s="66"/>
      <c r="M138" s="66"/>
      <c r="N138" s="67"/>
      <c r="O138" s="66"/>
      <c r="P138" s="66"/>
    </row>
    <row r="139" ht="54.0" customHeight="1">
      <c r="A139" s="64"/>
      <c r="B139" s="65"/>
      <c r="C139" s="66"/>
      <c r="D139" s="67"/>
      <c r="E139" s="67"/>
      <c r="F139" s="68"/>
      <c r="G139" s="68"/>
      <c r="H139" s="69"/>
      <c r="I139" s="66"/>
      <c r="J139" s="66"/>
      <c r="K139" s="67"/>
      <c r="L139" s="66"/>
      <c r="M139" s="66"/>
      <c r="N139" s="67"/>
      <c r="O139" s="66"/>
      <c r="P139" s="66"/>
    </row>
    <row r="140" ht="54.0" customHeight="1">
      <c r="A140" s="64"/>
      <c r="B140" s="65"/>
      <c r="C140" s="66"/>
      <c r="D140" s="67"/>
      <c r="E140" s="67"/>
      <c r="F140" s="68"/>
      <c r="G140" s="68"/>
      <c r="H140" s="69"/>
      <c r="I140" s="66"/>
      <c r="J140" s="66"/>
      <c r="K140" s="67"/>
      <c r="L140" s="66"/>
      <c r="M140" s="66"/>
      <c r="N140" s="67"/>
      <c r="O140" s="66"/>
      <c r="P140" s="66"/>
    </row>
    <row r="141" ht="54.0" customHeight="1">
      <c r="A141" s="64"/>
      <c r="B141" s="65"/>
      <c r="C141" s="66"/>
      <c r="D141" s="67"/>
      <c r="E141" s="67"/>
      <c r="F141" s="68"/>
      <c r="G141" s="68"/>
      <c r="H141" s="69"/>
      <c r="I141" s="66"/>
      <c r="J141" s="66"/>
      <c r="K141" s="67"/>
      <c r="L141" s="66"/>
      <c r="M141" s="66"/>
      <c r="N141" s="67"/>
      <c r="O141" s="66"/>
      <c r="P141" s="66"/>
    </row>
    <row r="142" ht="54.0" customHeight="1">
      <c r="A142" s="64"/>
      <c r="B142" s="65"/>
      <c r="C142" s="66"/>
      <c r="D142" s="67"/>
      <c r="E142" s="67"/>
      <c r="F142" s="68"/>
      <c r="G142" s="68"/>
      <c r="H142" s="69"/>
      <c r="I142" s="66"/>
      <c r="J142" s="66"/>
      <c r="K142" s="67"/>
      <c r="L142" s="66"/>
      <c r="M142" s="66"/>
      <c r="N142" s="67"/>
      <c r="O142" s="66"/>
      <c r="P142" s="66"/>
    </row>
    <row r="143" ht="54.0" customHeight="1">
      <c r="A143" s="64"/>
      <c r="B143" s="65"/>
      <c r="C143" s="66"/>
      <c r="D143" s="67"/>
      <c r="E143" s="67"/>
      <c r="F143" s="68"/>
      <c r="G143" s="68"/>
      <c r="H143" s="69"/>
      <c r="I143" s="66"/>
      <c r="J143" s="66"/>
      <c r="K143" s="67"/>
      <c r="L143" s="66"/>
      <c r="M143" s="66"/>
      <c r="N143" s="67"/>
      <c r="O143" s="66"/>
      <c r="P143" s="66"/>
    </row>
    <row r="144" ht="54.0" customHeight="1">
      <c r="A144" s="64"/>
      <c r="B144" s="65"/>
      <c r="C144" s="66"/>
      <c r="D144" s="67"/>
      <c r="E144" s="67"/>
      <c r="F144" s="68"/>
      <c r="G144" s="68"/>
      <c r="H144" s="69"/>
      <c r="I144" s="66"/>
      <c r="J144" s="66"/>
      <c r="K144" s="67"/>
      <c r="L144" s="66"/>
      <c r="M144" s="66"/>
      <c r="N144" s="67"/>
      <c r="O144" s="66"/>
      <c r="P144" s="66"/>
    </row>
    <row r="145" ht="54.0" customHeight="1">
      <c r="A145" s="64"/>
      <c r="B145" s="65"/>
      <c r="C145" s="66"/>
      <c r="D145" s="67"/>
      <c r="E145" s="67"/>
      <c r="F145" s="68"/>
      <c r="G145" s="68"/>
      <c r="H145" s="69"/>
      <c r="I145" s="66"/>
      <c r="J145" s="66"/>
      <c r="K145" s="67"/>
      <c r="L145" s="66"/>
      <c r="M145" s="66"/>
      <c r="N145" s="67"/>
      <c r="O145" s="66"/>
      <c r="P145" s="66"/>
    </row>
    <row r="146" ht="54.0" customHeight="1">
      <c r="A146" s="64"/>
      <c r="B146" s="65"/>
      <c r="C146" s="66"/>
      <c r="D146" s="67"/>
      <c r="E146" s="67"/>
      <c r="F146" s="68"/>
      <c r="G146" s="68"/>
      <c r="H146" s="69"/>
      <c r="I146" s="66"/>
      <c r="J146" s="66"/>
      <c r="K146" s="67"/>
      <c r="L146" s="66"/>
      <c r="M146" s="66"/>
      <c r="N146" s="67"/>
      <c r="O146" s="66"/>
      <c r="P146" s="66"/>
    </row>
    <row r="147" ht="54.0" customHeight="1">
      <c r="A147" s="64"/>
      <c r="B147" s="65"/>
      <c r="C147" s="66"/>
      <c r="D147" s="67"/>
      <c r="E147" s="67"/>
      <c r="F147" s="68"/>
      <c r="G147" s="68"/>
      <c r="H147" s="69"/>
      <c r="I147" s="66"/>
      <c r="J147" s="66"/>
      <c r="K147" s="67"/>
      <c r="L147" s="66"/>
      <c r="M147" s="66"/>
      <c r="N147" s="67"/>
      <c r="O147" s="66"/>
      <c r="P147" s="66"/>
    </row>
    <row r="148" ht="54.0" customHeight="1">
      <c r="A148" s="64"/>
      <c r="B148" s="65"/>
      <c r="C148" s="66"/>
      <c r="D148" s="67"/>
      <c r="E148" s="67"/>
      <c r="F148" s="68"/>
      <c r="G148" s="68"/>
      <c r="H148" s="69"/>
      <c r="I148" s="66"/>
      <c r="J148" s="66"/>
      <c r="K148" s="67"/>
      <c r="L148" s="66"/>
      <c r="M148" s="66"/>
      <c r="N148" s="67"/>
      <c r="O148" s="66"/>
      <c r="P148" s="66"/>
    </row>
    <row r="149" ht="54.0" customHeight="1">
      <c r="A149" s="64"/>
      <c r="B149" s="65"/>
      <c r="C149" s="66"/>
      <c r="D149" s="67"/>
      <c r="E149" s="67"/>
      <c r="F149" s="68"/>
      <c r="G149" s="68"/>
      <c r="H149" s="69"/>
      <c r="I149" s="66"/>
      <c r="J149" s="66"/>
      <c r="K149" s="67"/>
      <c r="L149" s="66"/>
      <c r="M149" s="66"/>
      <c r="N149" s="67"/>
      <c r="O149" s="66"/>
      <c r="P149" s="66"/>
    </row>
    <row r="150" ht="54.0" customHeight="1">
      <c r="A150" s="64"/>
      <c r="B150" s="65"/>
      <c r="C150" s="66"/>
      <c r="D150" s="67"/>
      <c r="E150" s="67"/>
      <c r="F150" s="68"/>
      <c r="G150" s="68"/>
      <c r="H150" s="69"/>
      <c r="I150" s="66"/>
      <c r="J150" s="66"/>
      <c r="K150" s="67"/>
      <c r="L150" s="66"/>
      <c r="M150" s="66"/>
      <c r="N150" s="67"/>
      <c r="O150" s="66"/>
      <c r="P150" s="66"/>
    </row>
    <row r="151" ht="54.0" customHeight="1">
      <c r="A151" s="64"/>
      <c r="B151" s="65"/>
      <c r="C151" s="66"/>
      <c r="D151" s="67"/>
      <c r="E151" s="67"/>
      <c r="F151" s="68"/>
      <c r="G151" s="68"/>
      <c r="H151" s="69"/>
      <c r="I151" s="66"/>
      <c r="J151" s="66"/>
      <c r="K151" s="67"/>
      <c r="L151" s="66"/>
      <c r="M151" s="66"/>
      <c r="N151" s="67"/>
      <c r="O151" s="66"/>
      <c r="P151" s="66"/>
    </row>
    <row r="152" ht="54.0" customHeight="1">
      <c r="A152" s="64"/>
      <c r="B152" s="65"/>
      <c r="C152" s="66"/>
      <c r="D152" s="67"/>
      <c r="E152" s="67"/>
      <c r="F152" s="68"/>
      <c r="G152" s="68"/>
      <c r="H152" s="69"/>
      <c r="I152" s="66"/>
      <c r="J152" s="66"/>
      <c r="K152" s="67"/>
      <c r="L152" s="66"/>
      <c r="M152" s="66"/>
      <c r="N152" s="67"/>
      <c r="O152" s="66"/>
      <c r="P152" s="66"/>
    </row>
    <row r="153" ht="54.0" customHeight="1">
      <c r="A153" s="64"/>
      <c r="B153" s="65"/>
      <c r="C153" s="66"/>
      <c r="D153" s="67"/>
      <c r="E153" s="67"/>
      <c r="F153" s="68"/>
      <c r="G153" s="68"/>
      <c r="H153" s="69"/>
      <c r="I153" s="66"/>
      <c r="J153" s="66"/>
      <c r="K153" s="67"/>
      <c r="L153" s="66"/>
      <c r="M153" s="66"/>
      <c r="N153" s="67"/>
      <c r="O153" s="66"/>
      <c r="P153" s="66"/>
    </row>
    <row r="154" ht="54.0" customHeight="1">
      <c r="A154" s="64"/>
      <c r="B154" s="65"/>
      <c r="C154" s="66"/>
      <c r="D154" s="67"/>
      <c r="E154" s="67"/>
      <c r="F154" s="68"/>
      <c r="G154" s="68"/>
      <c r="H154" s="69"/>
      <c r="I154" s="66"/>
      <c r="J154" s="66"/>
      <c r="K154" s="67"/>
      <c r="L154" s="66"/>
      <c r="M154" s="66"/>
      <c r="N154" s="67"/>
      <c r="O154" s="66"/>
      <c r="P154" s="66"/>
    </row>
    <row r="155" ht="54.0" customHeight="1">
      <c r="A155" s="64"/>
      <c r="B155" s="65"/>
      <c r="C155" s="66"/>
      <c r="D155" s="67"/>
      <c r="E155" s="67"/>
      <c r="F155" s="68"/>
      <c r="G155" s="68"/>
      <c r="H155" s="69"/>
      <c r="I155" s="66"/>
      <c r="J155" s="66"/>
      <c r="K155" s="67"/>
      <c r="L155" s="66"/>
      <c r="M155" s="66"/>
      <c r="N155" s="67"/>
      <c r="O155" s="66"/>
      <c r="P155" s="66"/>
    </row>
    <row r="156" ht="54.0" customHeight="1">
      <c r="A156" s="64"/>
      <c r="B156" s="65"/>
      <c r="C156" s="66"/>
      <c r="D156" s="67"/>
      <c r="E156" s="67"/>
      <c r="F156" s="68"/>
      <c r="G156" s="68"/>
      <c r="H156" s="69"/>
      <c r="I156" s="66"/>
      <c r="J156" s="66"/>
      <c r="K156" s="67"/>
      <c r="L156" s="66"/>
      <c r="M156" s="66"/>
      <c r="N156" s="67"/>
      <c r="O156" s="66"/>
      <c r="P156" s="66"/>
    </row>
    <row r="157" ht="54.0" customHeight="1">
      <c r="A157" s="64"/>
      <c r="B157" s="65"/>
      <c r="C157" s="66"/>
      <c r="D157" s="67"/>
      <c r="E157" s="67"/>
      <c r="F157" s="68"/>
      <c r="G157" s="68"/>
      <c r="H157" s="69"/>
      <c r="I157" s="66"/>
      <c r="J157" s="66"/>
      <c r="K157" s="67"/>
      <c r="L157" s="66"/>
      <c r="M157" s="66"/>
      <c r="N157" s="67"/>
      <c r="O157" s="66"/>
      <c r="P157" s="66"/>
    </row>
    <row r="158" ht="54.0" customHeight="1">
      <c r="A158" s="64"/>
      <c r="B158" s="65"/>
      <c r="C158" s="66"/>
      <c r="D158" s="67"/>
      <c r="E158" s="67"/>
      <c r="F158" s="68"/>
      <c r="G158" s="68"/>
      <c r="H158" s="69"/>
      <c r="I158" s="66"/>
      <c r="J158" s="66"/>
      <c r="K158" s="67"/>
      <c r="L158" s="66"/>
      <c r="M158" s="66"/>
      <c r="N158" s="67"/>
      <c r="O158" s="66"/>
      <c r="P158" s="66"/>
    </row>
    <row r="159" ht="54.0" customHeight="1">
      <c r="A159" s="64"/>
      <c r="B159" s="65"/>
      <c r="C159" s="66"/>
      <c r="D159" s="67"/>
      <c r="E159" s="67"/>
      <c r="F159" s="68"/>
      <c r="G159" s="68"/>
      <c r="H159" s="69"/>
      <c r="I159" s="66"/>
      <c r="J159" s="66"/>
      <c r="K159" s="67"/>
      <c r="L159" s="66"/>
      <c r="M159" s="66"/>
      <c r="N159" s="67"/>
      <c r="O159" s="66"/>
      <c r="P159" s="66"/>
    </row>
    <row r="160" ht="54.0" customHeight="1">
      <c r="A160" s="64"/>
      <c r="B160" s="65"/>
      <c r="C160" s="66"/>
      <c r="D160" s="67"/>
      <c r="E160" s="67"/>
      <c r="F160" s="68"/>
      <c r="G160" s="68"/>
      <c r="H160" s="69"/>
      <c r="I160" s="66"/>
      <c r="J160" s="66"/>
      <c r="K160" s="67"/>
      <c r="L160" s="66"/>
      <c r="M160" s="66"/>
      <c r="N160" s="67"/>
      <c r="O160" s="66"/>
      <c r="P160" s="66"/>
    </row>
    <row r="161" ht="54.0" customHeight="1">
      <c r="A161" s="64"/>
      <c r="B161" s="65"/>
      <c r="C161" s="66"/>
      <c r="D161" s="67"/>
      <c r="E161" s="67"/>
      <c r="F161" s="68"/>
      <c r="G161" s="68"/>
      <c r="H161" s="69"/>
      <c r="I161" s="66"/>
      <c r="J161" s="66"/>
      <c r="K161" s="67"/>
      <c r="L161" s="66"/>
      <c r="M161" s="66"/>
      <c r="N161" s="67"/>
      <c r="O161" s="66"/>
      <c r="P161" s="66"/>
    </row>
    <row r="162" ht="54.0" customHeight="1">
      <c r="A162" s="64"/>
      <c r="B162" s="65"/>
      <c r="C162" s="66"/>
      <c r="D162" s="67"/>
      <c r="E162" s="67"/>
      <c r="F162" s="68"/>
      <c r="G162" s="68"/>
      <c r="H162" s="69"/>
      <c r="I162" s="66"/>
      <c r="J162" s="66"/>
      <c r="K162" s="67"/>
      <c r="L162" s="66"/>
      <c r="M162" s="66"/>
      <c r="N162" s="67"/>
      <c r="O162" s="66"/>
      <c r="P162" s="66"/>
    </row>
    <row r="163" ht="54.0" customHeight="1">
      <c r="A163" s="64"/>
      <c r="B163" s="65"/>
      <c r="C163" s="66"/>
      <c r="D163" s="67"/>
      <c r="E163" s="67"/>
      <c r="F163" s="68"/>
      <c r="G163" s="68"/>
      <c r="H163" s="69"/>
      <c r="I163" s="66"/>
      <c r="J163" s="66"/>
      <c r="K163" s="67"/>
      <c r="L163" s="66"/>
      <c r="M163" s="66"/>
      <c r="N163" s="67"/>
      <c r="O163" s="66"/>
      <c r="P163" s="66"/>
    </row>
    <row r="164" ht="54.0" customHeight="1">
      <c r="A164" s="64"/>
      <c r="B164" s="65"/>
      <c r="C164" s="66"/>
      <c r="D164" s="67"/>
      <c r="E164" s="67"/>
      <c r="F164" s="68"/>
      <c r="G164" s="68"/>
      <c r="H164" s="69"/>
      <c r="I164" s="66"/>
      <c r="J164" s="66"/>
      <c r="K164" s="67"/>
      <c r="L164" s="66"/>
      <c r="M164" s="66"/>
      <c r="N164" s="67"/>
      <c r="O164" s="66"/>
      <c r="P164" s="66"/>
    </row>
    <row r="165" ht="54.0" customHeight="1">
      <c r="A165" s="64"/>
      <c r="B165" s="65"/>
      <c r="C165" s="66"/>
      <c r="D165" s="67"/>
      <c r="E165" s="67"/>
      <c r="F165" s="68"/>
      <c r="G165" s="68"/>
      <c r="H165" s="69"/>
      <c r="I165" s="66"/>
      <c r="J165" s="66"/>
      <c r="K165" s="67"/>
      <c r="L165" s="66"/>
      <c r="M165" s="66"/>
      <c r="N165" s="67"/>
      <c r="O165" s="66"/>
      <c r="P165" s="66"/>
    </row>
    <row r="166" ht="54.0" customHeight="1">
      <c r="A166" s="64"/>
      <c r="B166" s="65"/>
      <c r="C166" s="66"/>
      <c r="D166" s="67"/>
      <c r="E166" s="67"/>
      <c r="F166" s="68"/>
      <c r="G166" s="68"/>
      <c r="H166" s="69"/>
      <c r="I166" s="66"/>
      <c r="J166" s="66"/>
      <c r="K166" s="67"/>
      <c r="L166" s="66"/>
      <c r="M166" s="66"/>
      <c r="N166" s="67"/>
      <c r="O166" s="66"/>
      <c r="P166" s="66"/>
    </row>
    <row r="167" ht="54.0" customHeight="1">
      <c r="A167" s="64"/>
      <c r="B167" s="65"/>
      <c r="C167" s="66"/>
      <c r="D167" s="67"/>
      <c r="E167" s="67"/>
      <c r="F167" s="68"/>
      <c r="G167" s="68"/>
      <c r="H167" s="69"/>
      <c r="I167" s="66"/>
      <c r="J167" s="66"/>
      <c r="K167" s="67"/>
      <c r="L167" s="66"/>
      <c r="M167" s="66"/>
      <c r="N167" s="67"/>
      <c r="O167" s="66"/>
      <c r="P167" s="66"/>
    </row>
    <row r="168" ht="54.0" customHeight="1">
      <c r="A168" s="64"/>
      <c r="B168" s="65"/>
      <c r="C168" s="66"/>
      <c r="D168" s="67"/>
      <c r="E168" s="67"/>
      <c r="F168" s="68"/>
      <c r="G168" s="68"/>
      <c r="H168" s="69"/>
      <c r="I168" s="66"/>
      <c r="J168" s="66"/>
      <c r="K168" s="67"/>
      <c r="L168" s="66"/>
      <c r="M168" s="66"/>
      <c r="N168" s="67"/>
      <c r="O168" s="66"/>
      <c r="P168" s="66"/>
    </row>
    <row r="169" ht="54.0" customHeight="1">
      <c r="A169" s="64"/>
      <c r="B169" s="65"/>
      <c r="C169" s="66"/>
      <c r="D169" s="67"/>
      <c r="E169" s="67"/>
      <c r="F169" s="68"/>
      <c r="G169" s="68"/>
      <c r="H169" s="69"/>
      <c r="I169" s="66"/>
      <c r="J169" s="66"/>
      <c r="K169" s="67"/>
      <c r="L169" s="66"/>
      <c r="M169" s="66"/>
      <c r="N169" s="67"/>
      <c r="O169" s="66"/>
      <c r="P169" s="66"/>
    </row>
    <row r="170" ht="54.0" customHeight="1">
      <c r="A170" s="64"/>
      <c r="B170" s="65"/>
      <c r="C170" s="66"/>
      <c r="D170" s="67"/>
      <c r="E170" s="67"/>
      <c r="F170" s="68"/>
      <c r="G170" s="68"/>
      <c r="H170" s="69"/>
      <c r="I170" s="66"/>
      <c r="J170" s="66"/>
      <c r="K170" s="67"/>
      <c r="L170" s="66"/>
      <c r="M170" s="66"/>
      <c r="N170" s="67"/>
      <c r="O170" s="66"/>
      <c r="P170" s="66"/>
    </row>
    <row r="171" ht="54.0" customHeight="1">
      <c r="A171" s="64"/>
      <c r="B171" s="65"/>
      <c r="C171" s="66"/>
      <c r="D171" s="67"/>
      <c r="E171" s="67"/>
      <c r="F171" s="68"/>
      <c r="G171" s="68"/>
      <c r="H171" s="69"/>
      <c r="I171" s="66"/>
      <c r="J171" s="66"/>
      <c r="K171" s="67"/>
      <c r="L171" s="66"/>
      <c r="M171" s="66"/>
      <c r="N171" s="67"/>
      <c r="O171" s="66"/>
      <c r="P171" s="66"/>
    </row>
    <row r="172" ht="54.0" customHeight="1">
      <c r="A172" s="64"/>
      <c r="B172" s="65"/>
      <c r="C172" s="66"/>
      <c r="D172" s="67"/>
      <c r="E172" s="67"/>
      <c r="F172" s="68"/>
      <c r="G172" s="68"/>
      <c r="H172" s="69"/>
      <c r="I172" s="66"/>
      <c r="J172" s="66"/>
      <c r="K172" s="67"/>
      <c r="L172" s="66"/>
      <c r="M172" s="66"/>
      <c r="N172" s="67"/>
      <c r="O172" s="66"/>
      <c r="P172" s="66"/>
    </row>
    <row r="173" ht="54.0" customHeight="1">
      <c r="A173" s="64"/>
      <c r="B173" s="65"/>
      <c r="C173" s="66"/>
      <c r="D173" s="67"/>
      <c r="E173" s="67"/>
      <c r="F173" s="68"/>
      <c r="G173" s="68"/>
      <c r="H173" s="69"/>
      <c r="I173" s="66"/>
      <c r="J173" s="66"/>
      <c r="K173" s="67"/>
      <c r="L173" s="66"/>
      <c r="M173" s="66"/>
      <c r="N173" s="67"/>
      <c r="O173" s="66"/>
      <c r="P173" s="66"/>
    </row>
    <row r="174" ht="54.0" customHeight="1">
      <c r="A174" s="64"/>
      <c r="B174" s="65"/>
      <c r="C174" s="66"/>
      <c r="D174" s="67"/>
      <c r="E174" s="67"/>
      <c r="F174" s="68"/>
      <c r="G174" s="68"/>
      <c r="H174" s="69"/>
      <c r="I174" s="66"/>
      <c r="J174" s="66"/>
      <c r="K174" s="67"/>
      <c r="L174" s="66"/>
      <c r="M174" s="66"/>
      <c r="N174" s="67"/>
      <c r="O174" s="66"/>
      <c r="P174" s="66"/>
    </row>
    <row r="175" ht="54.0" customHeight="1">
      <c r="A175" s="64"/>
      <c r="B175" s="65"/>
      <c r="C175" s="66"/>
      <c r="D175" s="67"/>
      <c r="E175" s="67"/>
      <c r="F175" s="68"/>
      <c r="G175" s="68"/>
      <c r="H175" s="69"/>
      <c r="I175" s="66"/>
      <c r="J175" s="66"/>
      <c r="K175" s="67"/>
      <c r="L175" s="66"/>
      <c r="M175" s="66"/>
      <c r="N175" s="67"/>
      <c r="O175" s="66"/>
      <c r="P175" s="66"/>
    </row>
    <row r="176" ht="54.0" customHeight="1">
      <c r="A176" s="64"/>
      <c r="B176" s="65"/>
      <c r="C176" s="66"/>
      <c r="D176" s="67"/>
      <c r="E176" s="67"/>
      <c r="F176" s="68"/>
      <c r="G176" s="68"/>
      <c r="H176" s="69"/>
      <c r="I176" s="66"/>
      <c r="J176" s="66"/>
      <c r="K176" s="67"/>
      <c r="L176" s="66"/>
      <c r="M176" s="66"/>
      <c r="N176" s="67"/>
      <c r="O176" s="66"/>
      <c r="P176" s="66"/>
    </row>
    <row r="177" ht="54.0" customHeight="1">
      <c r="A177" s="64"/>
      <c r="B177" s="65"/>
      <c r="C177" s="66"/>
      <c r="D177" s="67"/>
      <c r="E177" s="67"/>
      <c r="F177" s="68"/>
      <c r="G177" s="68"/>
      <c r="H177" s="69"/>
      <c r="I177" s="66"/>
      <c r="J177" s="66"/>
      <c r="K177" s="67"/>
      <c r="L177" s="66"/>
      <c r="M177" s="66"/>
      <c r="N177" s="67"/>
      <c r="O177" s="66"/>
      <c r="P177" s="66"/>
    </row>
    <row r="178" ht="54.0" customHeight="1">
      <c r="A178" s="64"/>
      <c r="B178" s="65"/>
      <c r="C178" s="66"/>
      <c r="D178" s="67"/>
      <c r="E178" s="67"/>
      <c r="F178" s="68"/>
      <c r="G178" s="68"/>
      <c r="H178" s="69"/>
      <c r="I178" s="66"/>
      <c r="J178" s="66"/>
      <c r="K178" s="67"/>
      <c r="L178" s="66"/>
      <c r="M178" s="66"/>
      <c r="N178" s="67"/>
      <c r="O178" s="66"/>
      <c r="P178" s="66"/>
    </row>
    <row r="179" ht="54.0" customHeight="1">
      <c r="A179" s="64"/>
      <c r="B179" s="65"/>
      <c r="C179" s="66"/>
      <c r="D179" s="67"/>
      <c r="E179" s="67"/>
      <c r="F179" s="68"/>
      <c r="G179" s="68"/>
      <c r="H179" s="69"/>
      <c r="I179" s="66"/>
      <c r="J179" s="66"/>
      <c r="K179" s="67"/>
      <c r="L179" s="66"/>
      <c r="M179" s="66"/>
      <c r="N179" s="67"/>
      <c r="O179" s="66"/>
      <c r="P179" s="66"/>
    </row>
    <row r="180" ht="54.0" customHeight="1">
      <c r="A180" s="64"/>
      <c r="B180" s="65"/>
      <c r="C180" s="66"/>
      <c r="D180" s="67"/>
      <c r="E180" s="67"/>
      <c r="F180" s="68"/>
      <c r="G180" s="68"/>
      <c r="H180" s="69"/>
      <c r="I180" s="66"/>
      <c r="J180" s="66"/>
      <c r="K180" s="67"/>
      <c r="L180" s="66"/>
      <c r="M180" s="66"/>
      <c r="N180" s="67"/>
      <c r="O180" s="66"/>
      <c r="P180" s="66"/>
    </row>
    <row r="181" ht="54.0" customHeight="1">
      <c r="A181" s="64"/>
      <c r="B181" s="65"/>
      <c r="C181" s="66"/>
      <c r="D181" s="67"/>
      <c r="E181" s="67"/>
      <c r="F181" s="68"/>
      <c r="G181" s="68"/>
      <c r="H181" s="69"/>
      <c r="I181" s="66"/>
      <c r="J181" s="66"/>
      <c r="K181" s="67"/>
      <c r="L181" s="66"/>
      <c r="M181" s="66"/>
      <c r="N181" s="67"/>
      <c r="O181" s="66"/>
      <c r="P181" s="66"/>
    </row>
    <row r="182" ht="54.0" customHeight="1">
      <c r="A182" s="64"/>
      <c r="B182" s="65"/>
      <c r="C182" s="66"/>
      <c r="D182" s="67"/>
      <c r="E182" s="67"/>
      <c r="F182" s="68"/>
      <c r="G182" s="68"/>
      <c r="H182" s="69"/>
      <c r="I182" s="66"/>
      <c r="J182" s="66"/>
      <c r="K182" s="67"/>
      <c r="L182" s="66"/>
      <c r="M182" s="66"/>
      <c r="N182" s="67"/>
      <c r="O182" s="66"/>
      <c r="P182" s="66"/>
    </row>
    <row r="183" ht="54.0" customHeight="1">
      <c r="A183" s="64"/>
      <c r="B183" s="65"/>
      <c r="C183" s="66"/>
      <c r="D183" s="67"/>
      <c r="E183" s="67"/>
      <c r="F183" s="68"/>
      <c r="G183" s="68"/>
      <c r="H183" s="69"/>
      <c r="I183" s="66"/>
      <c r="J183" s="66"/>
      <c r="K183" s="67"/>
      <c r="L183" s="66"/>
      <c r="M183" s="66"/>
      <c r="N183" s="67"/>
      <c r="O183" s="66"/>
      <c r="P183" s="66"/>
    </row>
    <row r="184" ht="54.0" customHeight="1">
      <c r="A184" s="64"/>
      <c r="B184" s="65"/>
      <c r="C184" s="66"/>
      <c r="D184" s="67"/>
      <c r="E184" s="67"/>
      <c r="F184" s="68"/>
      <c r="G184" s="68"/>
      <c r="H184" s="69"/>
      <c r="I184" s="66"/>
      <c r="J184" s="66"/>
      <c r="K184" s="67"/>
      <c r="L184" s="66"/>
      <c r="M184" s="66"/>
      <c r="N184" s="67"/>
      <c r="O184" s="66"/>
      <c r="P184" s="66"/>
    </row>
    <row r="185" ht="54.0" customHeight="1">
      <c r="A185" s="64"/>
      <c r="B185" s="65"/>
      <c r="C185" s="66"/>
      <c r="D185" s="67"/>
      <c r="E185" s="67"/>
      <c r="F185" s="68"/>
      <c r="G185" s="68"/>
      <c r="H185" s="69"/>
      <c r="I185" s="66"/>
      <c r="J185" s="66"/>
      <c r="K185" s="67"/>
      <c r="L185" s="66"/>
      <c r="M185" s="66"/>
      <c r="N185" s="67"/>
      <c r="O185" s="66"/>
      <c r="P185" s="66"/>
    </row>
    <row r="186" ht="54.0" customHeight="1">
      <c r="A186" s="64"/>
      <c r="B186" s="65"/>
      <c r="C186" s="66"/>
      <c r="D186" s="67"/>
      <c r="E186" s="67"/>
      <c r="F186" s="68"/>
      <c r="G186" s="68"/>
      <c r="H186" s="69"/>
      <c r="I186" s="66"/>
      <c r="J186" s="66"/>
      <c r="K186" s="67"/>
      <c r="L186" s="66"/>
      <c r="M186" s="66"/>
      <c r="N186" s="67"/>
      <c r="O186" s="66"/>
      <c r="P186" s="66"/>
    </row>
    <row r="187" ht="54.0" customHeight="1">
      <c r="A187" s="64"/>
      <c r="B187" s="65"/>
      <c r="C187" s="66"/>
      <c r="D187" s="67"/>
      <c r="E187" s="67"/>
      <c r="F187" s="68"/>
      <c r="G187" s="68"/>
      <c r="H187" s="69"/>
      <c r="I187" s="66"/>
      <c r="J187" s="66"/>
      <c r="K187" s="67"/>
      <c r="L187" s="66"/>
      <c r="M187" s="66"/>
      <c r="N187" s="67"/>
      <c r="O187" s="66"/>
      <c r="P187" s="66"/>
    </row>
    <row r="188" ht="54.0" customHeight="1">
      <c r="A188" s="64"/>
      <c r="B188" s="65"/>
      <c r="C188" s="66"/>
      <c r="D188" s="67"/>
      <c r="E188" s="67"/>
      <c r="F188" s="68"/>
      <c r="G188" s="68"/>
      <c r="H188" s="69"/>
      <c r="I188" s="66"/>
      <c r="J188" s="66"/>
      <c r="K188" s="67"/>
      <c r="L188" s="66"/>
      <c r="M188" s="66"/>
      <c r="N188" s="67"/>
      <c r="O188" s="66"/>
      <c r="P188" s="66"/>
    </row>
    <row r="189" ht="54.0" customHeight="1">
      <c r="A189" s="64"/>
      <c r="B189" s="65"/>
      <c r="C189" s="66"/>
      <c r="D189" s="67"/>
      <c r="E189" s="67"/>
      <c r="F189" s="68"/>
      <c r="G189" s="68"/>
      <c r="H189" s="69"/>
      <c r="I189" s="66"/>
      <c r="J189" s="66"/>
      <c r="K189" s="67"/>
      <c r="L189" s="66"/>
      <c r="M189" s="66"/>
      <c r="N189" s="67"/>
      <c r="O189" s="66"/>
      <c r="P189" s="66"/>
    </row>
    <row r="190" ht="54.0" customHeight="1">
      <c r="A190" s="64"/>
      <c r="B190" s="65"/>
      <c r="C190" s="66"/>
      <c r="D190" s="67"/>
      <c r="E190" s="67"/>
      <c r="F190" s="68"/>
      <c r="G190" s="68"/>
      <c r="H190" s="69"/>
      <c r="I190" s="66"/>
      <c r="J190" s="66"/>
      <c r="K190" s="67"/>
      <c r="L190" s="66"/>
      <c r="M190" s="66"/>
      <c r="N190" s="67"/>
      <c r="O190" s="66"/>
      <c r="P190" s="66"/>
    </row>
    <row r="191" ht="54.0" customHeight="1">
      <c r="A191" s="64"/>
      <c r="B191" s="65"/>
      <c r="C191" s="66"/>
      <c r="D191" s="67"/>
      <c r="E191" s="67"/>
      <c r="F191" s="68"/>
      <c r="G191" s="68"/>
      <c r="H191" s="69"/>
      <c r="I191" s="66"/>
      <c r="J191" s="66"/>
      <c r="K191" s="67"/>
      <c r="L191" s="66"/>
      <c r="M191" s="66"/>
      <c r="N191" s="67"/>
      <c r="O191" s="66"/>
      <c r="P191" s="66"/>
    </row>
    <row r="192" ht="54.0" customHeight="1">
      <c r="A192" s="64"/>
      <c r="B192" s="65"/>
      <c r="C192" s="66"/>
      <c r="D192" s="67"/>
      <c r="E192" s="67"/>
      <c r="F192" s="68"/>
      <c r="G192" s="68"/>
      <c r="H192" s="69"/>
      <c r="I192" s="66"/>
      <c r="J192" s="66"/>
      <c r="K192" s="67"/>
      <c r="L192" s="66"/>
      <c r="M192" s="66"/>
      <c r="N192" s="67"/>
      <c r="O192" s="66"/>
      <c r="P192" s="66"/>
    </row>
    <row r="193" ht="54.0" customHeight="1">
      <c r="A193" s="64"/>
      <c r="B193" s="65"/>
      <c r="C193" s="66"/>
      <c r="D193" s="67"/>
      <c r="E193" s="67"/>
      <c r="F193" s="68"/>
      <c r="G193" s="68"/>
      <c r="H193" s="69"/>
      <c r="I193" s="66"/>
      <c r="J193" s="66"/>
      <c r="K193" s="67"/>
      <c r="L193" s="66"/>
      <c r="M193" s="66"/>
      <c r="N193" s="67"/>
      <c r="O193" s="66"/>
      <c r="P193" s="66"/>
    </row>
    <row r="194" ht="54.0" customHeight="1">
      <c r="A194" s="64"/>
      <c r="B194" s="65"/>
      <c r="C194" s="66"/>
      <c r="D194" s="67"/>
      <c r="E194" s="67"/>
      <c r="F194" s="68"/>
      <c r="G194" s="68"/>
      <c r="H194" s="69"/>
      <c r="I194" s="66"/>
      <c r="J194" s="66"/>
      <c r="K194" s="67"/>
      <c r="L194" s="66"/>
      <c r="M194" s="66"/>
      <c r="N194" s="67"/>
      <c r="O194" s="66"/>
      <c r="P194" s="66"/>
    </row>
    <row r="195" ht="54.0" customHeight="1">
      <c r="A195" s="64"/>
      <c r="B195" s="65"/>
      <c r="C195" s="66"/>
      <c r="D195" s="67"/>
      <c r="E195" s="67"/>
      <c r="F195" s="68"/>
      <c r="G195" s="68"/>
      <c r="H195" s="69"/>
      <c r="I195" s="66"/>
      <c r="J195" s="66"/>
      <c r="K195" s="67"/>
      <c r="L195" s="66"/>
      <c r="M195" s="66"/>
      <c r="N195" s="67"/>
      <c r="O195" s="66"/>
      <c r="P195" s="66"/>
    </row>
    <row r="196" ht="54.0" customHeight="1">
      <c r="A196" s="64"/>
      <c r="B196" s="65"/>
      <c r="C196" s="66"/>
      <c r="D196" s="67"/>
      <c r="E196" s="67"/>
      <c r="F196" s="68"/>
      <c r="G196" s="68"/>
      <c r="H196" s="69"/>
      <c r="I196" s="66"/>
      <c r="J196" s="66"/>
      <c r="K196" s="67"/>
      <c r="L196" s="66"/>
      <c r="M196" s="66"/>
      <c r="N196" s="67"/>
      <c r="O196" s="66"/>
      <c r="P196" s="66"/>
    </row>
    <row r="197" ht="54.0" customHeight="1">
      <c r="A197" s="64"/>
      <c r="B197" s="65"/>
      <c r="C197" s="66"/>
      <c r="D197" s="67"/>
      <c r="E197" s="67"/>
      <c r="F197" s="68"/>
      <c r="G197" s="68"/>
      <c r="H197" s="69"/>
      <c r="I197" s="66"/>
      <c r="J197" s="66"/>
      <c r="K197" s="67"/>
      <c r="L197" s="66"/>
      <c r="M197" s="66"/>
      <c r="N197" s="67"/>
      <c r="O197" s="66"/>
      <c r="P197" s="66"/>
    </row>
    <row r="198" ht="54.0" customHeight="1">
      <c r="A198" s="64"/>
      <c r="B198" s="65"/>
      <c r="C198" s="66"/>
      <c r="D198" s="67"/>
      <c r="E198" s="67"/>
      <c r="F198" s="68"/>
      <c r="G198" s="68"/>
      <c r="H198" s="69"/>
      <c r="I198" s="66"/>
      <c r="J198" s="66"/>
      <c r="K198" s="67"/>
      <c r="L198" s="66"/>
      <c r="M198" s="66"/>
      <c r="N198" s="67"/>
      <c r="O198" s="66"/>
      <c r="P198" s="66"/>
    </row>
    <row r="199" ht="54.0" customHeight="1">
      <c r="A199" s="64"/>
      <c r="B199" s="65"/>
      <c r="C199" s="66"/>
      <c r="D199" s="67"/>
      <c r="E199" s="67"/>
      <c r="F199" s="68"/>
      <c r="G199" s="68"/>
      <c r="H199" s="69"/>
      <c r="I199" s="66"/>
      <c r="J199" s="66"/>
      <c r="K199" s="67"/>
      <c r="L199" s="66"/>
      <c r="M199" s="66"/>
      <c r="N199" s="67"/>
      <c r="O199" s="66"/>
      <c r="P199" s="66"/>
    </row>
    <row r="200" ht="54.0" customHeight="1">
      <c r="A200" s="64"/>
      <c r="B200" s="65"/>
      <c r="C200" s="66"/>
      <c r="D200" s="67"/>
      <c r="E200" s="67"/>
      <c r="F200" s="68"/>
      <c r="G200" s="68"/>
      <c r="H200" s="69"/>
      <c r="I200" s="66"/>
      <c r="J200" s="66"/>
      <c r="K200" s="67"/>
      <c r="L200" s="66"/>
      <c r="M200" s="66"/>
      <c r="N200" s="67"/>
      <c r="O200" s="66"/>
      <c r="P200" s="66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P1"/>
    <mergeCell ref="A2:P2"/>
    <mergeCell ref="G3:P3"/>
    <mergeCell ref="G6:P7"/>
  </mergeCells>
  <conditionalFormatting sqref="J11:J80">
    <cfRule type="expression" dxfId="4" priority="1">
      <formula>$J11="Confirmed"</formula>
    </cfRule>
  </conditionalFormatting>
  <conditionalFormatting sqref="J11:J80">
    <cfRule type="expression" dxfId="5" priority="2">
      <formula>$J11="Draft"</formula>
    </cfRule>
  </conditionalFormatting>
  <conditionalFormatting sqref="J11:J80">
    <cfRule type="expression" dxfId="6" priority="3">
      <formula>$J11="Need Detail"</formula>
    </cfRule>
  </conditionalFormatting>
  <conditionalFormatting sqref="C11:E200">
    <cfRule type="expression" dxfId="7" priority="4">
      <formula>$D11="Corporate Update"</formula>
    </cfRule>
  </conditionalFormatting>
  <conditionalFormatting sqref="C11:E200">
    <cfRule type="expression" dxfId="8" priority="5">
      <formula>$D11="Product"</formula>
    </cfRule>
  </conditionalFormatting>
  <conditionalFormatting sqref="C11:E200">
    <cfRule type="expression" dxfId="9" priority="6">
      <formula>$D11="Membership &amp; Digital"</formula>
    </cfRule>
  </conditionalFormatting>
  <conditionalFormatting sqref="C11:E200">
    <cfRule type="expression" dxfId="10" priority="7">
      <formula>$D11="Branch Sharing"</formula>
    </cfRule>
  </conditionalFormatting>
  <conditionalFormatting sqref="C11:E200">
    <cfRule type="expression" dxfId="11" priority="8">
      <formula>$D11="Voice of Customer"</formula>
    </cfRule>
  </conditionalFormatting>
  <conditionalFormatting sqref="C11:E200">
    <cfRule type="expression" dxfId="12" priority="9">
      <formula>$D11="Interactive"</formula>
    </cfRule>
  </conditionalFormatting>
  <conditionalFormatting sqref="C11:E200">
    <cfRule type="expression" dxfId="13" priority="10">
      <formula>$D11="Recognition"</formula>
    </cfRule>
  </conditionalFormatting>
  <conditionalFormatting sqref="C11:E200">
    <cfRule type="expression" dxfId="14" priority="11">
      <formula>$D11="Logistics"</formula>
    </cfRule>
  </conditionalFormatting>
  <conditionalFormatting sqref="C11:E200">
    <cfRule type="expression" dxfId="15" priority="12">
      <formula>$D11="Entertainment"</formula>
    </cfRule>
  </conditionalFormatting>
  <conditionalFormatting sqref="C11:E200">
    <cfRule type="expression" dxfId="16" priority="13">
      <formula>$D11="Sales &amp; Marketing"</formula>
    </cfRule>
  </conditionalFormatting>
  <conditionalFormatting sqref="J11:J200">
    <cfRule type="expression" dxfId="17" priority="14">
      <formula>$J11="Confirmed"</formula>
    </cfRule>
  </conditionalFormatting>
  <conditionalFormatting sqref="J11:J200">
    <cfRule type="expression" dxfId="18" priority="15">
      <formula>$J11="Draft"</formula>
    </cfRule>
  </conditionalFormatting>
  <conditionalFormatting sqref="J11:J200">
    <cfRule type="expression" dxfId="19" priority="16">
      <formula>$J11="Idea"</formula>
    </cfRule>
  </conditionalFormatting>
  <conditionalFormatting sqref="J11:J200">
    <cfRule type="expression" dxfId="20" priority="17">
      <formula>$J11="Need Speaker"</formula>
    </cfRule>
  </conditionalFormatting>
  <conditionalFormatting sqref="J11:J200">
    <cfRule type="expression" dxfId="21" priority="18">
      <formula>$J11="Pending"</formula>
    </cfRule>
  </conditionalFormatting>
  <dataValidations>
    <dataValidation type="list" allowBlank="1" sqref="E11:E80">
      <formula1>Data!$A$46:$A$58</formula1>
    </dataValidation>
    <dataValidation type="list" allowBlank="1" sqref="J11:J80">
      <formula1>Data!$A$63:$A$69</formula1>
    </dataValidation>
    <dataValidation type="list" allowBlank="1" sqref="B5 N11:N80">
      <formula1>Data!$A$3:$A$10</formula1>
    </dataValidation>
    <dataValidation type="list" allowBlank="1" sqref="B6">
      <formula1>Data!$A$15:$A$23</formula1>
    </dataValidation>
    <dataValidation type="list" allowBlank="1" sqref="C11:C80">
      <formula1>Data!$B$74:$B$122</formula1>
    </dataValidation>
    <dataValidation type="list" allowBlank="1" sqref="I11:I80">
      <formula1>Data!$A$28:$A$41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56.0"/>
    <col customWidth="1" min="3" max="3" width="16.0"/>
    <col customWidth="1" min="4" max="4" width="18.0"/>
    <col customWidth="1" min="5" max="5" width="20.0"/>
    <col customWidth="1" min="6" max="6" width="44.0"/>
    <col customWidth="1" min="7" max="8" width="36.0"/>
    <col customWidth="1" min="9" max="9" width="28.0"/>
    <col customWidth="1" min="10" max="26" width="8.63"/>
  </cols>
  <sheetData>
    <row r="1" ht="24.0" customHeight="1">
      <c r="A1" s="70" t="s">
        <v>85</v>
      </c>
      <c r="B1" s="37"/>
      <c r="C1" s="37"/>
      <c r="D1" s="37"/>
      <c r="E1" s="37"/>
      <c r="F1" s="37"/>
      <c r="G1" s="37"/>
      <c r="H1" s="37"/>
      <c r="I1" s="38"/>
    </row>
    <row r="2">
      <c r="A2" s="71" t="s">
        <v>86</v>
      </c>
      <c r="B2" s="72" t="s">
        <v>87</v>
      </c>
      <c r="C2" s="73"/>
      <c r="D2" s="73"/>
      <c r="E2" s="73"/>
      <c r="F2" s="73"/>
      <c r="G2" s="73"/>
      <c r="H2" s="73"/>
      <c r="I2" s="74"/>
    </row>
    <row r="3">
      <c r="A3" s="75" t="s">
        <v>88</v>
      </c>
      <c r="B3" s="75" t="s">
        <v>89</v>
      </c>
      <c r="C3" s="76"/>
      <c r="D3" s="76"/>
      <c r="E3" s="76"/>
      <c r="F3" s="76"/>
      <c r="G3" s="76"/>
      <c r="H3" s="76"/>
      <c r="I3" s="76"/>
    </row>
    <row r="4">
      <c r="A4" s="75" t="s">
        <v>90</v>
      </c>
      <c r="B4" s="75" t="s">
        <v>91</v>
      </c>
      <c r="C4" s="76"/>
      <c r="D4" s="76"/>
      <c r="E4" s="76"/>
      <c r="F4" s="76"/>
      <c r="G4" s="76"/>
      <c r="H4" s="76"/>
      <c r="I4" s="76"/>
    </row>
    <row r="5">
      <c r="A5" s="75" t="s">
        <v>92</v>
      </c>
      <c r="B5" s="75" t="s">
        <v>93</v>
      </c>
      <c r="C5" s="76"/>
      <c r="D5" s="76"/>
      <c r="E5" s="76"/>
      <c r="F5" s="76"/>
      <c r="G5" s="76"/>
      <c r="H5" s="76"/>
      <c r="I5" s="76"/>
    </row>
    <row r="6">
      <c r="A6" s="75" t="s">
        <v>19</v>
      </c>
      <c r="B6" s="75" t="s">
        <v>94</v>
      </c>
      <c r="C6" s="76"/>
      <c r="D6" s="76"/>
      <c r="E6" s="76"/>
      <c r="F6" s="76"/>
      <c r="G6" s="76"/>
      <c r="H6" s="76"/>
      <c r="I6" s="76"/>
    </row>
    <row r="7">
      <c r="A7" s="75" t="s">
        <v>95</v>
      </c>
      <c r="B7" s="75" t="s">
        <v>96</v>
      </c>
      <c r="C7" s="76"/>
      <c r="D7" s="76"/>
      <c r="E7" s="76"/>
      <c r="F7" s="76"/>
      <c r="G7" s="76"/>
      <c r="H7" s="76"/>
      <c r="I7" s="76"/>
    </row>
    <row r="8">
      <c r="A8" s="75" t="s">
        <v>97</v>
      </c>
      <c r="B8" s="75" t="s">
        <v>98</v>
      </c>
      <c r="C8" s="76"/>
      <c r="D8" s="76"/>
      <c r="E8" s="76"/>
      <c r="F8" s="76"/>
      <c r="G8" s="76"/>
      <c r="H8" s="76"/>
      <c r="I8" s="76"/>
    </row>
    <row r="9">
      <c r="A9" s="75" t="s">
        <v>99</v>
      </c>
      <c r="B9" s="75" t="s">
        <v>100</v>
      </c>
      <c r="C9" s="76"/>
      <c r="D9" s="76"/>
      <c r="E9" s="76"/>
      <c r="F9" s="76"/>
      <c r="G9" s="76"/>
      <c r="H9" s="76"/>
      <c r="I9" s="76"/>
    </row>
    <row r="10">
      <c r="A10" s="75" t="s">
        <v>101</v>
      </c>
      <c r="B10" s="75" t="s">
        <v>102</v>
      </c>
      <c r="C10" s="76"/>
      <c r="D10" s="76"/>
      <c r="E10" s="76"/>
      <c r="F10" s="76"/>
      <c r="G10" s="76"/>
      <c r="H10" s="76"/>
      <c r="I10" s="76"/>
    </row>
    <row r="11">
      <c r="A11" s="76"/>
      <c r="B11" s="76"/>
      <c r="C11" s="76"/>
      <c r="D11" s="76"/>
      <c r="E11" s="76"/>
      <c r="F11" s="76"/>
      <c r="G11" s="76"/>
      <c r="H11" s="76"/>
      <c r="I11" s="76"/>
    </row>
    <row r="12">
      <c r="A12" s="76"/>
      <c r="B12" s="76"/>
      <c r="C12" s="76"/>
      <c r="D12" s="76"/>
      <c r="E12" s="76"/>
      <c r="F12" s="76"/>
      <c r="G12" s="76"/>
      <c r="H12" s="76"/>
      <c r="I12" s="76"/>
    </row>
    <row r="13" ht="24.0" customHeight="1">
      <c r="A13" s="77" t="s">
        <v>103</v>
      </c>
      <c r="B13" s="78"/>
      <c r="C13" s="78"/>
      <c r="D13" s="78"/>
      <c r="E13" s="78"/>
      <c r="F13" s="78"/>
      <c r="G13" s="78"/>
      <c r="H13" s="78"/>
      <c r="I13" s="79"/>
    </row>
    <row r="14">
      <c r="A14" s="71" t="s">
        <v>31</v>
      </c>
      <c r="B14" s="72" t="s">
        <v>87</v>
      </c>
      <c r="C14" s="73"/>
      <c r="D14" s="73"/>
      <c r="E14" s="73"/>
      <c r="F14" s="73"/>
      <c r="G14" s="73"/>
      <c r="H14" s="73"/>
      <c r="I14" s="74"/>
    </row>
    <row r="15">
      <c r="A15" s="75" t="s">
        <v>32</v>
      </c>
      <c r="B15" s="75" t="s">
        <v>104</v>
      </c>
      <c r="C15" s="76"/>
      <c r="D15" s="76"/>
      <c r="E15" s="76"/>
      <c r="F15" s="76"/>
      <c r="G15" s="76"/>
      <c r="H15" s="76"/>
      <c r="I15" s="76"/>
    </row>
    <row r="16">
      <c r="A16" s="75" t="s">
        <v>105</v>
      </c>
      <c r="B16" s="75" t="s">
        <v>106</v>
      </c>
      <c r="C16" s="76"/>
      <c r="D16" s="76"/>
      <c r="E16" s="76"/>
      <c r="F16" s="76"/>
      <c r="G16" s="76"/>
      <c r="H16" s="76"/>
      <c r="I16" s="76"/>
    </row>
    <row r="17">
      <c r="A17" s="75" t="s">
        <v>107</v>
      </c>
      <c r="B17" s="75" t="s">
        <v>108</v>
      </c>
      <c r="C17" s="76"/>
      <c r="D17" s="76"/>
      <c r="E17" s="76"/>
      <c r="F17" s="76"/>
      <c r="G17" s="76"/>
      <c r="H17" s="76"/>
      <c r="I17" s="76"/>
    </row>
    <row r="18">
      <c r="A18" s="75" t="s">
        <v>109</v>
      </c>
      <c r="B18" s="75" t="s">
        <v>110</v>
      </c>
      <c r="C18" s="76"/>
      <c r="D18" s="76"/>
      <c r="E18" s="76"/>
      <c r="F18" s="76"/>
      <c r="G18" s="76"/>
      <c r="H18" s="76"/>
      <c r="I18" s="76"/>
    </row>
    <row r="19">
      <c r="A19" s="75" t="s">
        <v>111</v>
      </c>
      <c r="B19" s="75" t="s">
        <v>112</v>
      </c>
      <c r="C19" s="76"/>
      <c r="D19" s="76"/>
      <c r="E19" s="76"/>
      <c r="F19" s="76"/>
      <c r="G19" s="76"/>
      <c r="H19" s="76"/>
      <c r="I19" s="76"/>
    </row>
    <row r="20">
      <c r="A20" s="75" t="s">
        <v>113</v>
      </c>
      <c r="B20" s="75" t="s">
        <v>114</v>
      </c>
      <c r="C20" s="76"/>
      <c r="D20" s="76"/>
      <c r="E20" s="76"/>
      <c r="F20" s="76"/>
      <c r="G20" s="76"/>
      <c r="H20" s="76"/>
      <c r="I20" s="76"/>
    </row>
    <row r="21" ht="15.75" customHeight="1">
      <c r="A21" s="75" t="s">
        <v>115</v>
      </c>
      <c r="B21" s="75" t="s">
        <v>116</v>
      </c>
      <c r="C21" s="76"/>
      <c r="D21" s="76"/>
      <c r="E21" s="76"/>
      <c r="F21" s="76"/>
      <c r="G21" s="76"/>
      <c r="H21" s="76"/>
      <c r="I21" s="76"/>
    </row>
    <row r="22" ht="15.75" customHeight="1">
      <c r="A22" s="75" t="s">
        <v>117</v>
      </c>
      <c r="B22" s="75" t="s">
        <v>118</v>
      </c>
      <c r="C22" s="76"/>
      <c r="D22" s="76"/>
      <c r="E22" s="76"/>
      <c r="F22" s="76"/>
      <c r="G22" s="76"/>
      <c r="H22" s="76"/>
      <c r="I22" s="76"/>
    </row>
    <row r="23" ht="15.75" customHeight="1">
      <c r="A23" s="75" t="s">
        <v>119</v>
      </c>
      <c r="B23" s="75" t="s">
        <v>120</v>
      </c>
      <c r="C23" s="76"/>
      <c r="D23" s="76"/>
      <c r="E23" s="76"/>
      <c r="F23" s="76"/>
      <c r="G23" s="76"/>
      <c r="H23" s="76"/>
      <c r="I23" s="76"/>
    </row>
    <row r="24" ht="15.75" customHeight="1">
      <c r="A24" s="76"/>
      <c r="B24" s="76"/>
      <c r="C24" s="76"/>
      <c r="D24" s="76"/>
      <c r="E24" s="76"/>
      <c r="F24" s="76"/>
      <c r="G24" s="76"/>
      <c r="H24" s="76"/>
      <c r="I24" s="76"/>
    </row>
    <row r="25" ht="24.0" customHeight="1">
      <c r="A25" s="77"/>
      <c r="B25" s="78"/>
      <c r="C25" s="78"/>
      <c r="D25" s="78"/>
      <c r="E25" s="78"/>
      <c r="F25" s="78"/>
      <c r="G25" s="78"/>
      <c r="H25" s="78"/>
      <c r="I25" s="79"/>
    </row>
    <row r="26" ht="15.75" customHeight="1">
      <c r="A26" s="80" t="s">
        <v>121</v>
      </c>
      <c r="B26" s="73"/>
      <c r="C26" s="73"/>
      <c r="D26" s="73"/>
      <c r="E26" s="73"/>
      <c r="F26" s="73"/>
      <c r="G26" s="73"/>
      <c r="H26" s="73"/>
      <c r="I26" s="74"/>
    </row>
    <row r="27" ht="15.75" customHeight="1">
      <c r="A27" s="81" t="s">
        <v>122</v>
      </c>
      <c r="B27" s="82" t="s">
        <v>123</v>
      </c>
      <c r="C27" s="76"/>
      <c r="D27" s="76"/>
      <c r="E27" s="76"/>
      <c r="F27" s="76"/>
      <c r="G27" s="76"/>
      <c r="H27" s="76"/>
      <c r="I27" s="76"/>
    </row>
    <row r="28" ht="15.75" customHeight="1">
      <c r="A28" s="75" t="s">
        <v>124</v>
      </c>
      <c r="B28" s="75" t="s">
        <v>125</v>
      </c>
      <c r="C28" s="76"/>
      <c r="D28" s="76"/>
      <c r="E28" s="76"/>
      <c r="F28" s="76"/>
      <c r="G28" s="76"/>
      <c r="H28" s="76"/>
      <c r="I28" s="76"/>
    </row>
    <row r="29" ht="15.75" customHeight="1">
      <c r="A29" s="75" t="s">
        <v>126</v>
      </c>
      <c r="B29" s="75" t="s">
        <v>127</v>
      </c>
      <c r="C29" s="76"/>
      <c r="D29" s="76"/>
      <c r="E29" s="76"/>
      <c r="F29" s="76"/>
      <c r="G29" s="76"/>
      <c r="H29" s="76"/>
      <c r="I29" s="76"/>
    </row>
    <row r="30" ht="15.75" customHeight="1">
      <c r="A30" s="75" t="s">
        <v>128</v>
      </c>
      <c r="B30" s="75" t="s">
        <v>129</v>
      </c>
      <c r="C30" s="76"/>
      <c r="D30" s="76"/>
      <c r="E30" s="76"/>
      <c r="F30" s="76"/>
      <c r="G30" s="76"/>
      <c r="H30" s="76"/>
      <c r="I30" s="76"/>
    </row>
    <row r="31" ht="15.75" customHeight="1">
      <c r="A31" s="75" t="s">
        <v>130</v>
      </c>
      <c r="B31" s="75" t="s">
        <v>131</v>
      </c>
      <c r="C31" s="76"/>
      <c r="D31" s="76"/>
      <c r="E31" s="76"/>
      <c r="F31" s="76"/>
      <c r="G31" s="76"/>
      <c r="H31" s="76"/>
      <c r="I31" s="76"/>
    </row>
    <row r="32" ht="15.75" customHeight="1">
      <c r="A32" s="75" t="s">
        <v>69</v>
      </c>
      <c r="B32" s="75" t="s">
        <v>132</v>
      </c>
      <c r="C32" s="76"/>
      <c r="D32" s="76"/>
      <c r="E32" s="76"/>
      <c r="F32" s="76"/>
      <c r="G32" s="76"/>
      <c r="H32" s="76"/>
      <c r="I32" s="76"/>
    </row>
    <row r="33" ht="15.75" customHeight="1">
      <c r="A33" s="75" t="s">
        <v>133</v>
      </c>
      <c r="B33" s="75" t="s">
        <v>134</v>
      </c>
      <c r="C33" s="76"/>
      <c r="D33" s="76"/>
      <c r="E33" s="76"/>
      <c r="F33" s="76"/>
      <c r="G33" s="76"/>
      <c r="H33" s="76"/>
      <c r="I33" s="76"/>
    </row>
    <row r="34" ht="15.75" customHeight="1">
      <c r="A34" s="75" t="s">
        <v>135</v>
      </c>
      <c r="B34" s="75" t="s">
        <v>136</v>
      </c>
      <c r="C34" s="76"/>
      <c r="D34" s="76"/>
      <c r="E34" s="76"/>
      <c r="F34" s="76"/>
      <c r="G34" s="76"/>
      <c r="H34" s="76"/>
      <c r="I34" s="76"/>
    </row>
    <row r="35" ht="15.75" customHeight="1">
      <c r="A35" s="75" t="s">
        <v>137</v>
      </c>
      <c r="B35" s="75" t="s">
        <v>138</v>
      </c>
      <c r="C35" s="76"/>
      <c r="D35" s="76"/>
      <c r="E35" s="76"/>
      <c r="F35" s="76"/>
      <c r="G35" s="76"/>
      <c r="H35" s="76"/>
      <c r="I35" s="76"/>
    </row>
    <row r="36" ht="15.75" customHeight="1">
      <c r="A36" s="75" t="s">
        <v>139</v>
      </c>
      <c r="B36" s="75" t="s">
        <v>140</v>
      </c>
      <c r="C36" s="76"/>
      <c r="D36" s="76"/>
      <c r="E36" s="76"/>
      <c r="F36" s="76"/>
      <c r="G36" s="76"/>
      <c r="H36" s="76"/>
      <c r="I36" s="76"/>
    </row>
    <row r="37" ht="15.75" customHeight="1">
      <c r="A37" s="75" t="s">
        <v>141</v>
      </c>
      <c r="B37" s="75" t="s">
        <v>142</v>
      </c>
      <c r="C37" s="76"/>
      <c r="D37" s="76"/>
      <c r="E37" s="76"/>
      <c r="F37" s="76"/>
      <c r="G37" s="76"/>
      <c r="H37" s="76"/>
      <c r="I37" s="76"/>
    </row>
    <row r="38" ht="15.75" customHeight="1">
      <c r="A38" s="75" t="s">
        <v>143</v>
      </c>
      <c r="B38" s="75" t="s">
        <v>144</v>
      </c>
      <c r="C38" s="76"/>
      <c r="D38" s="76"/>
      <c r="E38" s="76"/>
      <c r="F38" s="76"/>
      <c r="G38" s="76"/>
      <c r="H38" s="76"/>
      <c r="I38" s="76"/>
    </row>
    <row r="39" ht="15.75" customHeight="1">
      <c r="A39" s="75" t="s">
        <v>145</v>
      </c>
      <c r="B39" s="75" t="s">
        <v>146</v>
      </c>
      <c r="C39" s="76"/>
      <c r="D39" s="76"/>
      <c r="E39" s="76"/>
      <c r="F39" s="76"/>
      <c r="G39" s="76"/>
      <c r="H39" s="76"/>
      <c r="I39" s="76"/>
    </row>
    <row r="40" ht="15.75" customHeight="1">
      <c r="A40" s="75" t="s">
        <v>55</v>
      </c>
      <c r="B40" s="75" t="s">
        <v>147</v>
      </c>
      <c r="C40" s="76"/>
      <c r="D40" s="76"/>
      <c r="E40" s="76"/>
      <c r="F40" s="76"/>
      <c r="G40" s="76"/>
      <c r="H40" s="76"/>
      <c r="I40" s="76"/>
    </row>
    <row r="41" ht="15.75" customHeight="1">
      <c r="A41" s="75" t="s">
        <v>148</v>
      </c>
      <c r="B41" s="75" t="s">
        <v>149</v>
      </c>
      <c r="C41" s="76"/>
      <c r="D41" s="76"/>
      <c r="E41" s="76"/>
      <c r="F41" s="76"/>
      <c r="G41" s="76"/>
      <c r="H41" s="76"/>
      <c r="I41" s="76"/>
    </row>
    <row r="42" ht="15.75" customHeight="1">
      <c r="A42" s="76"/>
      <c r="B42" s="76"/>
      <c r="C42" s="76"/>
      <c r="D42" s="76"/>
      <c r="E42" s="76"/>
      <c r="F42" s="76"/>
      <c r="G42" s="76"/>
      <c r="H42" s="76"/>
      <c r="I42" s="76"/>
    </row>
    <row r="43" ht="24.0" customHeight="1">
      <c r="A43" s="77"/>
      <c r="B43" s="78"/>
      <c r="C43" s="78"/>
      <c r="D43" s="78"/>
      <c r="E43" s="78"/>
      <c r="F43" s="78"/>
      <c r="G43" s="78"/>
      <c r="H43" s="78"/>
      <c r="I43" s="79"/>
    </row>
    <row r="44" ht="15.75" customHeight="1">
      <c r="A44" s="80" t="s">
        <v>150</v>
      </c>
      <c r="B44" s="73"/>
      <c r="C44" s="73"/>
      <c r="D44" s="73"/>
      <c r="E44" s="73"/>
      <c r="F44" s="73"/>
      <c r="G44" s="73"/>
      <c r="H44" s="73"/>
      <c r="I44" s="74"/>
    </row>
    <row r="45" ht="15.75" customHeight="1">
      <c r="A45" s="81" t="s">
        <v>151</v>
      </c>
      <c r="B45" s="76"/>
      <c r="C45" s="76"/>
      <c r="D45" s="76"/>
      <c r="E45" s="76"/>
      <c r="F45" s="76"/>
      <c r="G45" s="76"/>
      <c r="H45" s="76"/>
      <c r="I45" s="76"/>
    </row>
    <row r="46" ht="15.75" customHeight="1">
      <c r="A46" s="83" t="s">
        <v>152</v>
      </c>
      <c r="B46" s="76"/>
      <c r="C46" s="76"/>
      <c r="D46" s="76"/>
      <c r="E46" s="76"/>
      <c r="F46" s="76"/>
      <c r="G46" s="76"/>
      <c r="H46" s="76"/>
      <c r="I46" s="76"/>
    </row>
    <row r="47" ht="15.75" customHeight="1">
      <c r="A47" s="75" t="s">
        <v>153</v>
      </c>
      <c r="B47" s="76"/>
      <c r="C47" s="76"/>
      <c r="D47" s="76"/>
      <c r="E47" s="76"/>
      <c r="F47" s="76"/>
      <c r="G47" s="76"/>
      <c r="H47" s="76"/>
      <c r="I47" s="76"/>
    </row>
    <row r="48" ht="15.75" customHeight="1">
      <c r="A48" s="83" t="s">
        <v>154</v>
      </c>
      <c r="B48" s="76"/>
      <c r="C48" s="76"/>
      <c r="D48" s="76"/>
      <c r="E48" s="76"/>
      <c r="F48" s="76"/>
      <c r="G48" s="76"/>
      <c r="H48" s="76"/>
      <c r="I48" s="76"/>
    </row>
    <row r="49" ht="15.75" customHeight="1">
      <c r="A49" s="75" t="s">
        <v>155</v>
      </c>
      <c r="B49" s="76"/>
      <c r="C49" s="76"/>
      <c r="D49" s="76"/>
      <c r="E49" s="76"/>
      <c r="F49" s="76"/>
      <c r="G49" s="76"/>
      <c r="H49" s="76"/>
      <c r="I49" s="76"/>
    </row>
    <row r="50" ht="15.75" customHeight="1">
      <c r="A50" s="75" t="s">
        <v>156</v>
      </c>
      <c r="B50" s="76"/>
      <c r="C50" s="76"/>
      <c r="D50" s="76"/>
      <c r="E50" s="76"/>
      <c r="F50" s="76"/>
      <c r="G50" s="76"/>
      <c r="H50" s="76"/>
      <c r="I50" s="76"/>
    </row>
    <row r="51" ht="15.75" customHeight="1">
      <c r="A51" s="83" t="s">
        <v>157</v>
      </c>
      <c r="B51" s="76"/>
      <c r="C51" s="76"/>
      <c r="D51" s="76"/>
      <c r="E51" s="76"/>
      <c r="F51" s="76"/>
      <c r="G51" s="76"/>
      <c r="H51" s="76"/>
      <c r="I51" s="76"/>
    </row>
    <row r="52" ht="15.75" customHeight="1">
      <c r="A52" s="75" t="s">
        <v>158</v>
      </c>
      <c r="B52" s="76"/>
      <c r="C52" s="76"/>
      <c r="D52" s="76"/>
      <c r="E52" s="76"/>
      <c r="F52" s="76"/>
      <c r="G52" s="76"/>
      <c r="H52" s="76"/>
      <c r="I52" s="76"/>
    </row>
    <row r="53" ht="15.75" customHeight="1">
      <c r="A53" s="75" t="s">
        <v>159</v>
      </c>
      <c r="B53" s="76"/>
      <c r="C53" s="76"/>
      <c r="D53" s="76"/>
      <c r="E53" s="76"/>
      <c r="F53" s="76"/>
      <c r="G53" s="76"/>
      <c r="H53" s="76"/>
      <c r="I53" s="76"/>
    </row>
    <row r="54" ht="15.75" customHeight="1">
      <c r="A54" s="75" t="s">
        <v>160</v>
      </c>
      <c r="B54" s="76"/>
      <c r="C54" s="76"/>
      <c r="D54" s="76"/>
      <c r="E54" s="76"/>
      <c r="F54" s="76"/>
      <c r="G54" s="76"/>
      <c r="H54" s="76"/>
      <c r="I54" s="76"/>
    </row>
    <row r="55" ht="24.0" customHeight="1">
      <c r="A55" s="84" t="s">
        <v>54</v>
      </c>
      <c r="B55" s="85"/>
      <c r="C55" s="85"/>
      <c r="D55" s="85"/>
      <c r="E55" s="85"/>
      <c r="F55" s="85"/>
      <c r="G55" s="85"/>
      <c r="H55" s="85"/>
      <c r="I55" s="86"/>
    </row>
    <row r="56" ht="15.75" customHeight="1">
      <c r="A56" s="71" t="s">
        <v>161</v>
      </c>
      <c r="B56" s="73"/>
      <c r="C56" s="73"/>
      <c r="D56" s="73"/>
      <c r="E56" s="73"/>
      <c r="F56" s="73"/>
      <c r="G56" s="73"/>
      <c r="H56" s="73"/>
      <c r="I56" s="74"/>
    </row>
    <row r="57" ht="15.75" customHeight="1">
      <c r="A57" s="75" t="s">
        <v>162</v>
      </c>
      <c r="B57" s="76"/>
      <c r="C57" s="76"/>
      <c r="D57" s="76"/>
      <c r="E57" s="76"/>
      <c r="F57" s="76"/>
      <c r="G57" s="76"/>
      <c r="H57" s="76"/>
      <c r="I57" s="76"/>
    </row>
    <row r="58" ht="15.75" customHeight="1">
      <c r="A58" s="75" t="s">
        <v>163</v>
      </c>
      <c r="B58" s="76"/>
      <c r="C58" s="76"/>
      <c r="D58" s="76"/>
      <c r="E58" s="76"/>
      <c r="F58" s="76"/>
      <c r="G58" s="76"/>
      <c r="H58" s="76"/>
      <c r="I58" s="76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76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76"/>
    </row>
    <row r="61" ht="15.75" customHeight="1">
      <c r="A61" s="87" t="s">
        <v>164</v>
      </c>
      <c r="B61" s="76"/>
      <c r="C61" s="76"/>
      <c r="D61" s="76"/>
      <c r="E61" s="76"/>
      <c r="F61" s="76"/>
      <c r="G61" s="76"/>
      <c r="H61" s="76"/>
      <c r="I61" s="76"/>
    </row>
    <row r="62" ht="15.75" customHeight="1">
      <c r="A62" s="81" t="s">
        <v>46</v>
      </c>
      <c r="B62" s="76"/>
      <c r="C62" s="76"/>
      <c r="D62" s="76"/>
      <c r="E62" s="76"/>
      <c r="F62" s="76"/>
      <c r="G62" s="76"/>
      <c r="H62" s="76"/>
      <c r="I62" s="76"/>
    </row>
    <row r="63" ht="15.75" customHeight="1">
      <c r="A63" s="75" t="s">
        <v>165</v>
      </c>
      <c r="B63" s="76"/>
      <c r="C63" s="76"/>
      <c r="D63" s="76"/>
      <c r="E63" s="76"/>
      <c r="F63" s="76"/>
      <c r="G63" s="76"/>
      <c r="H63" s="76"/>
      <c r="I63" s="76"/>
    </row>
    <row r="64" ht="15.75" customHeight="1">
      <c r="A64" s="75" t="s">
        <v>166</v>
      </c>
      <c r="B64" s="76"/>
      <c r="C64" s="76"/>
      <c r="D64" s="76"/>
      <c r="E64" s="76"/>
      <c r="F64" s="76"/>
      <c r="G64" s="76"/>
      <c r="H64" s="76"/>
      <c r="I64" s="76"/>
    </row>
    <row r="65" ht="15.75" customHeight="1">
      <c r="A65" s="75" t="s">
        <v>167</v>
      </c>
      <c r="B65" s="76"/>
      <c r="C65" s="76"/>
      <c r="D65" s="76"/>
      <c r="E65" s="76"/>
      <c r="F65" s="76"/>
      <c r="G65" s="76"/>
      <c r="H65" s="76"/>
      <c r="I65" s="76"/>
    </row>
    <row r="66" ht="15.75" customHeight="1">
      <c r="A66" s="75" t="s">
        <v>56</v>
      </c>
      <c r="B66" s="76"/>
      <c r="C66" s="76"/>
      <c r="D66" s="76"/>
      <c r="E66" s="76"/>
      <c r="F66" s="76"/>
      <c r="G66" s="76"/>
      <c r="H66" s="76"/>
      <c r="I66" s="76"/>
    </row>
    <row r="67" ht="15.75" customHeight="1">
      <c r="A67" s="75" t="s">
        <v>168</v>
      </c>
      <c r="B67" s="76"/>
      <c r="C67" s="76"/>
      <c r="D67" s="76"/>
      <c r="E67" s="76"/>
      <c r="F67" s="76"/>
      <c r="G67" s="76"/>
      <c r="H67" s="76"/>
      <c r="I67" s="76"/>
    </row>
    <row r="68" ht="15.75" customHeight="1">
      <c r="A68" s="75" t="s">
        <v>169</v>
      </c>
      <c r="B68" s="76"/>
      <c r="C68" s="76"/>
      <c r="D68" s="76"/>
      <c r="E68" s="76"/>
      <c r="F68" s="76"/>
      <c r="G68" s="76"/>
      <c r="H68" s="76"/>
      <c r="I68" s="76"/>
    </row>
    <row r="69" ht="24.0" customHeight="1">
      <c r="A69" s="84" t="s">
        <v>170</v>
      </c>
      <c r="B69" s="85"/>
      <c r="C69" s="85"/>
      <c r="D69" s="85"/>
      <c r="E69" s="85"/>
      <c r="F69" s="85"/>
      <c r="G69" s="85"/>
      <c r="H69" s="85"/>
      <c r="I69" s="86"/>
    </row>
    <row r="70" ht="15.75" customHeight="1">
      <c r="A70" s="80"/>
      <c r="B70" s="73"/>
      <c r="C70" s="73"/>
      <c r="D70" s="73"/>
      <c r="E70" s="73"/>
      <c r="F70" s="73"/>
      <c r="G70" s="73"/>
      <c r="H70" s="73"/>
      <c r="I70" s="74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76"/>
    </row>
    <row r="72" ht="15.75" customHeight="1">
      <c r="A72" s="87" t="s">
        <v>171</v>
      </c>
      <c r="B72" s="76"/>
      <c r="C72" s="76"/>
      <c r="D72" s="76"/>
      <c r="E72" s="76"/>
      <c r="F72" s="76"/>
      <c r="G72" s="76"/>
      <c r="H72" s="76"/>
      <c r="I72" s="76"/>
    </row>
    <row r="73" ht="15.75" customHeight="1">
      <c r="A73" s="81" t="s">
        <v>40</v>
      </c>
      <c r="B73" s="82" t="s">
        <v>39</v>
      </c>
      <c r="C73" s="82" t="s">
        <v>172</v>
      </c>
      <c r="D73" s="82" t="s">
        <v>173</v>
      </c>
      <c r="E73" s="82" t="s">
        <v>174</v>
      </c>
      <c r="F73" s="82" t="s">
        <v>175</v>
      </c>
      <c r="G73" s="82" t="s">
        <v>48</v>
      </c>
      <c r="H73" s="82" t="s">
        <v>49</v>
      </c>
      <c r="I73" s="88" t="s">
        <v>50</v>
      </c>
    </row>
    <row r="74" ht="15.75" customHeight="1">
      <c r="A74" s="75" t="s">
        <v>176</v>
      </c>
      <c r="B74" s="75" t="s">
        <v>58</v>
      </c>
      <c r="C74" s="75" t="s">
        <v>152</v>
      </c>
      <c r="D74" s="75">
        <v>10.0</v>
      </c>
      <c r="E74" s="75" t="s">
        <v>145</v>
      </c>
      <c r="F74" s="75" t="s">
        <v>177</v>
      </c>
      <c r="G74" s="75" t="s">
        <v>178</v>
      </c>
      <c r="H74" s="75" t="s">
        <v>179</v>
      </c>
      <c r="I74" s="75" t="s">
        <v>101</v>
      </c>
    </row>
    <row r="75" ht="15.75" customHeight="1">
      <c r="A75" s="75" t="s">
        <v>176</v>
      </c>
      <c r="B75" s="75" t="s">
        <v>60</v>
      </c>
      <c r="C75" s="75" t="s">
        <v>152</v>
      </c>
      <c r="D75" s="75">
        <v>20.0</v>
      </c>
      <c r="E75" s="75" t="s">
        <v>124</v>
      </c>
      <c r="F75" s="75" t="s">
        <v>180</v>
      </c>
      <c r="G75" s="75" t="s">
        <v>181</v>
      </c>
      <c r="H75" s="75" t="s">
        <v>182</v>
      </c>
      <c r="I75" s="75" t="s">
        <v>88</v>
      </c>
    </row>
    <row r="76" ht="15.75" customHeight="1">
      <c r="A76" s="75" t="s">
        <v>176</v>
      </c>
      <c r="B76" s="75" t="s">
        <v>183</v>
      </c>
      <c r="C76" s="75" t="s">
        <v>152</v>
      </c>
      <c r="D76" s="75">
        <v>15.0</v>
      </c>
      <c r="E76" s="75" t="s">
        <v>126</v>
      </c>
      <c r="F76" s="75" t="s">
        <v>184</v>
      </c>
      <c r="G76" s="75" t="s">
        <v>185</v>
      </c>
      <c r="H76" s="75" t="s">
        <v>186</v>
      </c>
      <c r="I76" s="75" t="s">
        <v>101</v>
      </c>
    </row>
    <row r="77" ht="15.75" customHeight="1">
      <c r="A77" s="75" t="s">
        <v>176</v>
      </c>
      <c r="B77" s="75" t="s">
        <v>187</v>
      </c>
      <c r="C77" s="75" t="s">
        <v>152</v>
      </c>
      <c r="D77" s="75">
        <v>20.0</v>
      </c>
      <c r="E77" s="75" t="s">
        <v>124</v>
      </c>
      <c r="F77" s="75" t="s">
        <v>188</v>
      </c>
      <c r="G77" s="75" t="s">
        <v>189</v>
      </c>
      <c r="H77" s="75" t="s">
        <v>190</v>
      </c>
      <c r="I77" s="75" t="s">
        <v>97</v>
      </c>
    </row>
    <row r="78" ht="15.75" customHeight="1">
      <c r="A78" s="75" t="s">
        <v>176</v>
      </c>
      <c r="B78" s="75" t="s">
        <v>191</v>
      </c>
      <c r="C78" s="75" t="s">
        <v>152</v>
      </c>
      <c r="D78" s="75">
        <v>15.0</v>
      </c>
      <c r="E78" s="75" t="s">
        <v>133</v>
      </c>
      <c r="F78" s="75" t="s">
        <v>192</v>
      </c>
      <c r="G78" s="75" t="s">
        <v>193</v>
      </c>
      <c r="H78" s="75" t="s">
        <v>194</v>
      </c>
      <c r="I78" s="75" t="s">
        <v>19</v>
      </c>
    </row>
    <row r="79" ht="15.75" customHeight="1">
      <c r="A79" s="75" t="s">
        <v>176</v>
      </c>
      <c r="B79" s="75" t="s">
        <v>195</v>
      </c>
      <c r="C79" s="75" t="s">
        <v>152</v>
      </c>
      <c r="D79" s="75">
        <v>15.0</v>
      </c>
      <c r="E79" s="75" t="s">
        <v>128</v>
      </c>
      <c r="F79" s="75" t="s">
        <v>196</v>
      </c>
      <c r="G79" s="75" t="s">
        <v>197</v>
      </c>
      <c r="H79" s="75" t="s">
        <v>198</v>
      </c>
      <c r="I79" s="75" t="s">
        <v>88</v>
      </c>
    </row>
    <row r="80" ht="15.75" customHeight="1">
      <c r="A80" s="75" t="s">
        <v>9</v>
      </c>
      <c r="B80" s="75" t="s">
        <v>68</v>
      </c>
      <c r="C80" s="75" t="s">
        <v>155</v>
      </c>
      <c r="D80" s="75">
        <v>30.0</v>
      </c>
      <c r="E80" s="75" t="s">
        <v>69</v>
      </c>
      <c r="F80" s="75" t="s">
        <v>199</v>
      </c>
      <c r="G80" s="75" t="s">
        <v>200</v>
      </c>
      <c r="H80" s="75" t="s">
        <v>201</v>
      </c>
      <c r="I80" s="75" t="s">
        <v>19</v>
      </c>
    </row>
    <row r="81" ht="15.75" customHeight="1">
      <c r="A81" s="75" t="s">
        <v>9</v>
      </c>
      <c r="B81" s="75" t="s">
        <v>79</v>
      </c>
      <c r="C81" s="75" t="s">
        <v>155</v>
      </c>
      <c r="D81" s="75">
        <v>45.0</v>
      </c>
      <c r="E81" s="75" t="s">
        <v>69</v>
      </c>
      <c r="F81" s="75" t="s">
        <v>202</v>
      </c>
      <c r="G81" s="75" t="s">
        <v>203</v>
      </c>
      <c r="H81" s="75" t="s">
        <v>204</v>
      </c>
      <c r="I81" s="75" t="s">
        <v>90</v>
      </c>
    </row>
    <row r="82" ht="15.75" customHeight="1">
      <c r="A82" s="75" t="s">
        <v>9</v>
      </c>
      <c r="B82" s="75" t="s">
        <v>205</v>
      </c>
      <c r="C82" s="75" t="s">
        <v>155</v>
      </c>
      <c r="D82" s="75">
        <v>20.0</v>
      </c>
      <c r="E82" s="75" t="s">
        <v>130</v>
      </c>
      <c r="F82" s="75" t="s">
        <v>206</v>
      </c>
      <c r="G82" s="75" t="s">
        <v>207</v>
      </c>
      <c r="H82" s="75" t="s">
        <v>208</v>
      </c>
      <c r="I82" s="75" t="s">
        <v>88</v>
      </c>
    </row>
    <row r="83" ht="15.75" customHeight="1">
      <c r="A83" s="75" t="s">
        <v>9</v>
      </c>
      <c r="B83" s="75" t="s">
        <v>209</v>
      </c>
      <c r="C83" s="75" t="s">
        <v>153</v>
      </c>
      <c r="D83" s="75">
        <v>20.0</v>
      </c>
      <c r="E83" s="75" t="s">
        <v>69</v>
      </c>
      <c r="F83" s="75" t="s">
        <v>210</v>
      </c>
      <c r="G83" s="75" t="s">
        <v>211</v>
      </c>
      <c r="H83" s="75" t="s">
        <v>212</v>
      </c>
      <c r="I83" s="75" t="s">
        <v>95</v>
      </c>
    </row>
    <row r="84" ht="15.75" customHeight="1">
      <c r="A84" s="75" t="s">
        <v>9</v>
      </c>
      <c r="B84" s="75" t="s">
        <v>213</v>
      </c>
      <c r="C84" s="75" t="s">
        <v>152</v>
      </c>
      <c r="D84" s="75">
        <v>30.0</v>
      </c>
      <c r="E84" s="75" t="s">
        <v>130</v>
      </c>
      <c r="F84" s="75" t="s">
        <v>214</v>
      </c>
      <c r="G84" s="75" t="s">
        <v>215</v>
      </c>
      <c r="H84" s="75" t="s">
        <v>216</v>
      </c>
      <c r="I84" s="75" t="s">
        <v>95</v>
      </c>
    </row>
    <row r="85" ht="15.75" customHeight="1">
      <c r="A85" s="75" t="s">
        <v>9</v>
      </c>
      <c r="B85" s="75" t="s">
        <v>217</v>
      </c>
      <c r="C85" s="75" t="s">
        <v>158</v>
      </c>
      <c r="D85" s="75">
        <v>30.0</v>
      </c>
      <c r="E85" s="75" t="s">
        <v>128</v>
      </c>
      <c r="F85" s="75" t="s">
        <v>218</v>
      </c>
      <c r="G85" s="75" t="s">
        <v>219</v>
      </c>
      <c r="H85" s="75" t="s">
        <v>220</v>
      </c>
      <c r="I85" s="75" t="s">
        <v>90</v>
      </c>
    </row>
    <row r="86" ht="15.75" customHeight="1">
      <c r="A86" s="75" t="s">
        <v>9</v>
      </c>
      <c r="B86" s="75" t="s">
        <v>221</v>
      </c>
      <c r="C86" s="75" t="s">
        <v>152</v>
      </c>
      <c r="D86" s="75">
        <v>20.0</v>
      </c>
      <c r="E86" s="75" t="s">
        <v>128</v>
      </c>
      <c r="F86" s="75" t="s">
        <v>222</v>
      </c>
      <c r="G86" s="75" t="s">
        <v>223</v>
      </c>
      <c r="H86" s="75" t="s">
        <v>224</v>
      </c>
      <c r="I86" s="75" t="s">
        <v>97</v>
      </c>
    </row>
    <row r="87" ht="15.75" customHeight="1">
      <c r="A87" s="75" t="s">
        <v>225</v>
      </c>
      <c r="B87" s="75" t="s">
        <v>226</v>
      </c>
      <c r="C87" s="75" t="s">
        <v>152</v>
      </c>
      <c r="D87" s="75">
        <v>20.0</v>
      </c>
      <c r="E87" s="75" t="s">
        <v>126</v>
      </c>
      <c r="F87" s="75" t="s">
        <v>227</v>
      </c>
      <c r="G87" s="75" t="s">
        <v>228</v>
      </c>
      <c r="H87" s="75" t="s">
        <v>229</v>
      </c>
      <c r="I87" s="75" t="s">
        <v>88</v>
      </c>
    </row>
    <row r="88" ht="15.75" customHeight="1">
      <c r="A88" s="75" t="s">
        <v>225</v>
      </c>
      <c r="B88" s="75" t="s">
        <v>62</v>
      </c>
      <c r="C88" s="75" t="s">
        <v>152</v>
      </c>
      <c r="D88" s="75">
        <v>20.0</v>
      </c>
      <c r="E88" s="75" t="s">
        <v>126</v>
      </c>
      <c r="F88" s="75" t="s">
        <v>230</v>
      </c>
      <c r="G88" s="75" t="s">
        <v>231</v>
      </c>
      <c r="H88" s="75" t="s">
        <v>232</v>
      </c>
      <c r="I88" s="75" t="s">
        <v>90</v>
      </c>
    </row>
    <row r="89" ht="24.0" customHeight="1">
      <c r="A89" s="84" t="s">
        <v>225</v>
      </c>
      <c r="B89" s="89" t="s">
        <v>233</v>
      </c>
      <c r="C89" s="89" t="s">
        <v>152</v>
      </c>
      <c r="D89" s="89">
        <v>15.0</v>
      </c>
      <c r="E89" s="89" t="s">
        <v>126</v>
      </c>
      <c r="F89" s="89" t="s">
        <v>234</v>
      </c>
      <c r="G89" s="89" t="s">
        <v>235</v>
      </c>
      <c r="H89" s="89" t="s">
        <v>236</v>
      </c>
      <c r="I89" s="90" t="s">
        <v>19</v>
      </c>
    </row>
    <row r="90" ht="15.75" customHeight="1">
      <c r="A90" s="71" t="s">
        <v>225</v>
      </c>
      <c r="B90" s="72" t="s">
        <v>237</v>
      </c>
      <c r="C90" s="72" t="s">
        <v>155</v>
      </c>
      <c r="D90" s="72">
        <v>15.0</v>
      </c>
      <c r="E90" s="72" t="s">
        <v>137</v>
      </c>
      <c r="F90" s="72" t="s">
        <v>238</v>
      </c>
      <c r="G90" s="72" t="s">
        <v>239</v>
      </c>
      <c r="H90" s="72" t="s">
        <v>240</v>
      </c>
      <c r="I90" s="91" t="s">
        <v>88</v>
      </c>
    </row>
    <row r="91" ht="15.75" customHeight="1">
      <c r="A91" s="75" t="s">
        <v>225</v>
      </c>
      <c r="B91" s="75" t="s">
        <v>241</v>
      </c>
      <c r="C91" s="75" t="s">
        <v>155</v>
      </c>
      <c r="D91" s="75">
        <v>20.0</v>
      </c>
      <c r="E91" s="75" t="s">
        <v>137</v>
      </c>
      <c r="F91" s="75" t="s">
        <v>242</v>
      </c>
      <c r="G91" s="75" t="s">
        <v>243</v>
      </c>
      <c r="H91" s="75" t="s">
        <v>244</v>
      </c>
      <c r="I91" s="75" t="s">
        <v>90</v>
      </c>
    </row>
    <row r="92" ht="15.75" customHeight="1">
      <c r="A92" s="75" t="s">
        <v>225</v>
      </c>
      <c r="B92" s="75" t="s">
        <v>64</v>
      </c>
      <c r="C92" s="75" t="s">
        <v>155</v>
      </c>
      <c r="D92" s="75">
        <v>20.0</v>
      </c>
      <c r="E92" s="75" t="s">
        <v>55</v>
      </c>
      <c r="F92" s="75" t="s">
        <v>245</v>
      </c>
      <c r="G92" s="75" t="s">
        <v>246</v>
      </c>
      <c r="H92" s="75" t="s">
        <v>247</v>
      </c>
      <c r="I92" s="75" t="s">
        <v>88</v>
      </c>
    </row>
    <row r="93" ht="15.75" customHeight="1">
      <c r="A93" s="75" t="s">
        <v>225</v>
      </c>
      <c r="B93" s="75" t="s">
        <v>248</v>
      </c>
      <c r="C93" s="75" t="s">
        <v>152</v>
      </c>
      <c r="D93" s="75">
        <v>15.0</v>
      </c>
      <c r="E93" s="75" t="s">
        <v>137</v>
      </c>
      <c r="F93" s="75" t="s">
        <v>249</v>
      </c>
      <c r="G93" s="75" t="s">
        <v>250</v>
      </c>
      <c r="H93" s="75" t="s">
        <v>251</v>
      </c>
      <c r="I93" s="75" t="s">
        <v>97</v>
      </c>
    </row>
    <row r="94" ht="15.75" customHeight="1">
      <c r="A94" s="75" t="s">
        <v>252</v>
      </c>
      <c r="B94" s="75" t="s">
        <v>253</v>
      </c>
      <c r="C94" s="75" t="s">
        <v>152</v>
      </c>
      <c r="D94" s="75">
        <v>20.0</v>
      </c>
      <c r="E94" s="75" t="s">
        <v>133</v>
      </c>
      <c r="F94" s="75" t="s">
        <v>254</v>
      </c>
      <c r="G94" s="75" t="s">
        <v>255</v>
      </c>
      <c r="H94" s="75" t="s">
        <v>256</v>
      </c>
      <c r="I94" s="75" t="s">
        <v>88</v>
      </c>
    </row>
    <row r="95" ht="15.75" customHeight="1">
      <c r="A95" s="75" t="s">
        <v>252</v>
      </c>
      <c r="B95" s="75" t="s">
        <v>257</v>
      </c>
      <c r="C95" s="75" t="s">
        <v>152</v>
      </c>
      <c r="D95" s="75">
        <v>20.0</v>
      </c>
      <c r="E95" s="75" t="s">
        <v>126</v>
      </c>
      <c r="F95" s="75" t="s">
        <v>258</v>
      </c>
      <c r="G95" s="75" t="s">
        <v>259</v>
      </c>
      <c r="H95" s="75" t="s">
        <v>260</v>
      </c>
      <c r="I95" s="75" t="s">
        <v>90</v>
      </c>
    </row>
    <row r="96" ht="15.75" customHeight="1">
      <c r="A96" s="75" t="s">
        <v>252</v>
      </c>
      <c r="B96" s="75" t="s">
        <v>261</v>
      </c>
      <c r="C96" s="75" t="s">
        <v>154</v>
      </c>
      <c r="D96" s="75">
        <v>30.0</v>
      </c>
      <c r="E96" s="75" t="s">
        <v>55</v>
      </c>
      <c r="F96" s="75" t="s">
        <v>262</v>
      </c>
      <c r="G96" s="75" t="s">
        <v>263</v>
      </c>
      <c r="H96" s="75" t="s">
        <v>264</v>
      </c>
      <c r="I96" s="75" t="s">
        <v>19</v>
      </c>
    </row>
    <row r="97" ht="15.75" customHeight="1">
      <c r="A97" s="75" t="s">
        <v>252</v>
      </c>
      <c r="B97" s="75" t="s">
        <v>265</v>
      </c>
      <c r="C97" s="75" t="s">
        <v>154</v>
      </c>
      <c r="D97" s="75">
        <v>30.0</v>
      </c>
      <c r="E97" s="75" t="s">
        <v>55</v>
      </c>
      <c r="F97" s="75" t="s">
        <v>266</v>
      </c>
      <c r="G97" s="75" t="s">
        <v>267</v>
      </c>
      <c r="H97" s="75" t="s">
        <v>268</v>
      </c>
      <c r="I97" s="75" t="s">
        <v>19</v>
      </c>
    </row>
    <row r="98" ht="15.75" customHeight="1">
      <c r="A98" s="75" t="s">
        <v>252</v>
      </c>
      <c r="B98" s="75" t="s">
        <v>269</v>
      </c>
      <c r="C98" s="75" t="s">
        <v>152</v>
      </c>
      <c r="D98" s="75">
        <v>15.0</v>
      </c>
      <c r="E98" s="75" t="s">
        <v>126</v>
      </c>
      <c r="F98" s="75" t="s">
        <v>270</v>
      </c>
      <c r="G98" s="75" t="s">
        <v>271</v>
      </c>
      <c r="H98" s="75" t="s">
        <v>272</v>
      </c>
      <c r="I98" s="75" t="s">
        <v>88</v>
      </c>
    </row>
    <row r="99" ht="15.75" customHeight="1">
      <c r="A99" s="75" t="s">
        <v>252</v>
      </c>
      <c r="B99" s="75" t="s">
        <v>273</v>
      </c>
      <c r="C99" s="75" t="s">
        <v>154</v>
      </c>
      <c r="D99" s="75">
        <v>45.0</v>
      </c>
      <c r="E99" s="75" t="s">
        <v>133</v>
      </c>
      <c r="F99" s="75" t="s">
        <v>274</v>
      </c>
      <c r="G99" s="75" t="s">
        <v>275</v>
      </c>
      <c r="H99" s="75" t="s">
        <v>276</v>
      </c>
      <c r="I99" s="75" t="s">
        <v>95</v>
      </c>
    </row>
    <row r="100" ht="15.75" customHeight="1">
      <c r="A100" s="75" t="s">
        <v>277</v>
      </c>
      <c r="B100" s="75" t="s">
        <v>278</v>
      </c>
      <c r="C100" s="75" t="s">
        <v>153</v>
      </c>
      <c r="D100" s="75">
        <v>30.0</v>
      </c>
      <c r="E100" s="75" t="s">
        <v>135</v>
      </c>
      <c r="F100" s="75" t="s">
        <v>279</v>
      </c>
      <c r="G100" s="75" t="s">
        <v>280</v>
      </c>
      <c r="H100" s="75" t="s">
        <v>281</v>
      </c>
      <c r="I100" s="75" t="s">
        <v>88</v>
      </c>
    </row>
    <row r="101" ht="15.75" customHeight="1">
      <c r="A101" s="75" t="s">
        <v>277</v>
      </c>
      <c r="B101" s="75" t="s">
        <v>282</v>
      </c>
      <c r="C101" s="75" t="s">
        <v>152</v>
      </c>
      <c r="D101" s="75">
        <v>15.0</v>
      </c>
      <c r="E101" s="75" t="s">
        <v>135</v>
      </c>
      <c r="F101" s="75" t="s">
        <v>283</v>
      </c>
      <c r="G101" s="75" t="s">
        <v>284</v>
      </c>
      <c r="H101" s="75" t="s">
        <v>285</v>
      </c>
      <c r="I101" s="75" t="s">
        <v>88</v>
      </c>
    </row>
    <row r="102" ht="15.75" customHeight="1">
      <c r="A102" s="75" t="s">
        <v>277</v>
      </c>
      <c r="B102" s="75" t="s">
        <v>76</v>
      </c>
      <c r="C102" s="75" t="s">
        <v>157</v>
      </c>
      <c r="D102" s="75">
        <v>45.0</v>
      </c>
      <c r="E102" s="75" t="s">
        <v>145</v>
      </c>
      <c r="F102" s="75" t="s">
        <v>286</v>
      </c>
      <c r="G102" s="75" t="s">
        <v>287</v>
      </c>
      <c r="H102" s="75" t="s">
        <v>288</v>
      </c>
      <c r="I102" s="75" t="s">
        <v>88</v>
      </c>
    </row>
    <row r="103" ht="15.75" customHeight="1">
      <c r="A103" s="75" t="s">
        <v>277</v>
      </c>
      <c r="B103" s="75" t="s">
        <v>289</v>
      </c>
      <c r="C103" s="75" t="s">
        <v>153</v>
      </c>
      <c r="D103" s="75">
        <v>20.0</v>
      </c>
      <c r="E103" s="75" t="s">
        <v>135</v>
      </c>
      <c r="F103" s="75" t="s">
        <v>290</v>
      </c>
      <c r="G103" s="75" t="s">
        <v>291</v>
      </c>
      <c r="H103" s="75" t="s">
        <v>292</v>
      </c>
      <c r="I103" s="75" t="s">
        <v>95</v>
      </c>
    </row>
    <row r="104" ht="15.75" customHeight="1">
      <c r="A104" s="75" t="s">
        <v>293</v>
      </c>
      <c r="B104" s="75" t="s">
        <v>294</v>
      </c>
      <c r="C104" s="75" t="s">
        <v>153</v>
      </c>
      <c r="D104" s="75">
        <v>30.0</v>
      </c>
      <c r="E104" s="75" t="s">
        <v>141</v>
      </c>
      <c r="F104" s="75" t="s">
        <v>295</v>
      </c>
      <c r="G104" s="75" t="s">
        <v>296</v>
      </c>
      <c r="H104" s="75" t="s">
        <v>297</v>
      </c>
      <c r="I104" s="75" t="s">
        <v>90</v>
      </c>
    </row>
    <row r="105" ht="15.75" customHeight="1">
      <c r="A105" s="75" t="s">
        <v>293</v>
      </c>
      <c r="B105" s="75" t="s">
        <v>298</v>
      </c>
      <c r="C105" s="75" t="s">
        <v>153</v>
      </c>
      <c r="D105" s="75">
        <v>45.0</v>
      </c>
      <c r="E105" s="75" t="s">
        <v>145</v>
      </c>
      <c r="F105" s="75" t="s">
        <v>299</v>
      </c>
      <c r="G105" s="75" t="s">
        <v>300</v>
      </c>
      <c r="H105" s="75" t="s">
        <v>301</v>
      </c>
      <c r="I105" s="75" t="s">
        <v>19</v>
      </c>
    </row>
    <row r="106" ht="15.75" customHeight="1">
      <c r="A106" s="75" t="s">
        <v>293</v>
      </c>
      <c r="B106" s="75" t="s">
        <v>302</v>
      </c>
      <c r="C106" s="75" t="s">
        <v>162</v>
      </c>
      <c r="D106" s="75">
        <v>30.0</v>
      </c>
      <c r="E106" s="75" t="s">
        <v>145</v>
      </c>
      <c r="F106" s="75" t="s">
        <v>303</v>
      </c>
      <c r="G106" s="75" t="s">
        <v>304</v>
      </c>
      <c r="H106" s="75" t="s">
        <v>305</v>
      </c>
      <c r="I106" s="75" t="s">
        <v>101</v>
      </c>
    </row>
    <row r="107" ht="24.0" customHeight="1">
      <c r="A107" s="84" t="s">
        <v>293</v>
      </c>
      <c r="B107" s="89" t="s">
        <v>306</v>
      </c>
      <c r="C107" s="89" t="s">
        <v>156</v>
      </c>
      <c r="D107" s="89">
        <v>45.0</v>
      </c>
      <c r="E107" s="89" t="s">
        <v>145</v>
      </c>
      <c r="F107" s="89" t="s">
        <v>307</v>
      </c>
      <c r="G107" s="89" t="s">
        <v>308</v>
      </c>
      <c r="H107" s="89" t="s">
        <v>309</v>
      </c>
      <c r="I107" s="90" t="s">
        <v>90</v>
      </c>
    </row>
    <row r="108" ht="15.75" customHeight="1">
      <c r="A108" s="71" t="s">
        <v>13</v>
      </c>
      <c r="B108" s="72" t="s">
        <v>310</v>
      </c>
      <c r="C108" s="72" t="s">
        <v>156</v>
      </c>
      <c r="D108" s="72">
        <v>60.0</v>
      </c>
      <c r="E108" s="72" t="s">
        <v>124</v>
      </c>
      <c r="F108" s="72" t="s">
        <v>311</v>
      </c>
      <c r="G108" s="72" t="s">
        <v>312</v>
      </c>
      <c r="H108" s="72" t="s">
        <v>313</v>
      </c>
      <c r="I108" s="91" t="s">
        <v>90</v>
      </c>
    </row>
    <row r="109" ht="15.75" customHeight="1">
      <c r="A109" s="75" t="s">
        <v>13</v>
      </c>
      <c r="B109" s="75" t="s">
        <v>74</v>
      </c>
      <c r="C109" s="75" t="s">
        <v>155</v>
      </c>
      <c r="D109" s="75">
        <v>60.0</v>
      </c>
      <c r="E109" s="75" t="s">
        <v>130</v>
      </c>
      <c r="F109" s="75" t="s">
        <v>314</v>
      </c>
      <c r="G109" s="75" t="s">
        <v>315</v>
      </c>
      <c r="H109" s="75" t="s">
        <v>316</v>
      </c>
      <c r="I109" s="75" t="s">
        <v>101</v>
      </c>
    </row>
    <row r="110" ht="15.75" customHeight="1">
      <c r="A110" s="75" t="s">
        <v>13</v>
      </c>
      <c r="B110" s="75" t="s">
        <v>317</v>
      </c>
      <c r="C110" s="75" t="s">
        <v>157</v>
      </c>
      <c r="D110" s="75">
        <v>45.0</v>
      </c>
      <c r="E110" s="75" t="s">
        <v>133</v>
      </c>
      <c r="F110" s="75" t="s">
        <v>318</v>
      </c>
      <c r="G110" s="75" t="s">
        <v>319</v>
      </c>
      <c r="H110" s="75" t="s">
        <v>320</v>
      </c>
      <c r="I110" s="75" t="s">
        <v>19</v>
      </c>
    </row>
    <row r="111" ht="15.75" customHeight="1">
      <c r="A111" s="75" t="s">
        <v>13</v>
      </c>
      <c r="B111" s="75" t="s">
        <v>81</v>
      </c>
      <c r="C111" s="75" t="s">
        <v>162</v>
      </c>
      <c r="D111" s="75">
        <v>30.0</v>
      </c>
      <c r="E111" s="75" t="s">
        <v>145</v>
      </c>
      <c r="F111" s="75" t="s">
        <v>321</v>
      </c>
      <c r="G111" s="75" t="s">
        <v>322</v>
      </c>
      <c r="H111" s="75" t="s">
        <v>323</v>
      </c>
      <c r="I111" s="75" t="s">
        <v>101</v>
      </c>
    </row>
    <row r="112" ht="15.75" customHeight="1">
      <c r="A112" s="75" t="s">
        <v>14</v>
      </c>
      <c r="B112" s="75" t="s">
        <v>324</v>
      </c>
      <c r="C112" s="75" t="s">
        <v>159</v>
      </c>
      <c r="D112" s="75">
        <v>20.0</v>
      </c>
      <c r="E112" s="75" t="s">
        <v>124</v>
      </c>
      <c r="F112" s="75" t="s">
        <v>325</v>
      </c>
      <c r="G112" s="75" t="s">
        <v>326</v>
      </c>
      <c r="H112" s="75" t="s">
        <v>327</v>
      </c>
      <c r="I112" s="75" t="s">
        <v>90</v>
      </c>
    </row>
    <row r="113" ht="15.75" customHeight="1">
      <c r="A113" s="75" t="s">
        <v>14</v>
      </c>
      <c r="B113" s="75" t="s">
        <v>328</v>
      </c>
      <c r="C113" s="75" t="s">
        <v>159</v>
      </c>
      <c r="D113" s="75">
        <v>20.0</v>
      </c>
      <c r="E113" s="75" t="s">
        <v>126</v>
      </c>
      <c r="F113" s="75" t="s">
        <v>329</v>
      </c>
      <c r="G113" s="75" t="s">
        <v>330</v>
      </c>
      <c r="H113" s="75" t="s">
        <v>331</v>
      </c>
      <c r="I113" s="75" t="s">
        <v>88</v>
      </c>
    </row>
    <row r="114" ht="15.75" customHeight="1">
      <c r="A114" s="75" t="s">
        <v>14</v>
      </c>
      <c r="B114" s="75" t="s">
        <v>332</v>
      </c>
      <c r="C114" s="75" t="s">
        <v>159</v>
      </c>
      <c r="D114" s="75">
        <v>15.0</v>
      </c>
      <c r="E114" s="75" t="s">
        <v>124</v>
      </c>
      <c r="F114" s="75" t="s">
        <v>333</v>
      </c>
      <c r="G114" s="75" t="s">
        <v>334</v>
      </c>
      <c r="H114" s="75" t="s">
        <v>335</v>
      </c>
      <c r="I114" s="75" t="s">
        <v>90</v>
      </c>
    </row>
    <row r="115" ht="15.75" customHeight="1">
      <c r="A115" s="75" t="s">
        <v>16</v>
      </c>
      <c r="B115" s="75" t="s">
        <v>336</v>
      </c>
      <c r="C115" s="75" t="s">
        <v>163</v>
      </c>
      <c r="D115" s="75">
        <v>15.0</v>
      </c>
      <c r="E115" s="75" t="s">
        <v>145</v>
      </c>
      <c r="F115" s="75" t="s">
        <v>337</v>
      </c>
      <c r="G115" s="75" t="s">
        <v>338</v>
      </c>
      <c r="H115" s="75" t="s">
        <v>339</v>
      </c>
      <c r="I115" s="75" t="s">
        <v>101</v>
      </c>
    </row>
    <row r="116" ht="15.75" customHeight="1">
      <c r="A116" s="75" t="s">
        <v>16</v>
      </c>
      <c r="B116" s="75" t="s">
        <v>340</v>
      </c>
      <c r="C116" s="75" t="s">
        <v>163</v>
      </c>
      <c r="D116" s="75">
        <v>15.0</v>
      </c>
      <c r="E116" s="75" t="s">
        <v>145</v>
      </c>
      <c r="F116" s="75" t="s">
        <v>341</v>
      </c>
      <c r="G116" s="75" t="s">
        <v>342</v>
      </c>
      <c r="H116" s="75" t="s">
        <v>343</v>
      </c>
      <c r="I116" s="75" t="s">
        <v>101</v>
      </c>
    </row>
    <row r="117" ht="15.75" customHeight="1">
      <c r="A117" s="75" t="s">
        <v>16</v>
      </c>
      <c r="B117" s="75" t="s">
        <v>344</v>
      </c>
      <c r="C117" s="75" t="s">
        <v>161</v>
      </c>
      <c r="D117" s="75">
        <v>90.0</v>
      </c>
      <c r="E117" s="75" t="s">
        <v>145</v>
      </c>
      <c r="F117" s="75" t="s">
        <v>345</v>
      </c>
      <c r="G117" s="75" t="s">
        <v>346</v>
      </c>
      <c r="H117" s="75" t="s">
        <v>347</v>
      </c>
      <c r="I117" s="75" t="s">
        <v>101</v>
      </c>
    </row>
    <row r="118" ht="15.75" customHeight="1">
      <c r="A118" s="75" t="s">
        <v>15</v>
      </c>
      <c r="B118" s="75" t="s">
        <v>53</v>
      </c>
      <c r="C118" s="75" t="s">
        <v>54</v>
      </c>
      <c r="D118" s="75">
        <v>30.0</v>
      </c>
      <c r="E118" s="75" t="s">
        <v>148</v>
      </c>
      <c r="F118" s="75" t="s">
        <v>348</v>
      </c>
      <c r="G118" s="75" t="s">
        <v>349</v>
      </c>
      <c r="H118" s="75" t="s">
        <v>350</v>
      </c>
      <c r="I118" s="75" t="s">
        <v>101</v>
      </c>
    </row>
    <row r="119" ht="15.75" customHeight="1">
      <c r="A119" s="75" t="s">
        <v>15</v>
      </c>
      <c r="B119" s="75" t="s">
        <v>66</v>
      </c>
      <c r="C119" s="75" t="s">
        <v>54</v>
      </c>
      <c r="D119" s="75">
        <v>15.0</v>
      </c>
      <c r="E119" s="75" t="s">
        <v>148</v>
      </c>
      <c r="F119" s="75" t="s">
        <v>351</v>
      </c>
      <c r="G119" s="75" t="s">
        <v>352</v>
      </c>
      <c r="H119" s="75" t="s">
        <v>353</v>
      </c>
      <c r="I119" s="75" t="s">
        <v>101</v>
      </c>
    </row>
    <row r="120" ht="15.75" customHeight="1">
      <c r="A120" s="75" t="s">
        <v>15</v>
      </c>
      <c r="B120" s="75" t="s">
        <v>72</v>
      </c>
      <c r="C120" s="75" t="s">
        <v>161</v>
      </c>
      <c r="D120" s="75">
        <v>60.0</v>
      </c>
      <c r="E120" s="75" t="s">
        <v>148</v>
      </c>
      <c r="F120" s="75" t="s">
        <v>354</v>
      </c>
      <c r="G120" s="75" t="s">
        <v>355</v>
      </c>
      <c r="H120" s="75" t="s">
        <v>356</v>
      </c>
      <c r="I120" s="75" t="s">
        <v>101</v>
      </c>
    </row>
    <row r="121" ht="15.75" customHeight="1">
      <c r="A121" s="75" t="s">
        <v>15</v>
      </c>
      <c r="B121" s="75" t="s">
        <v>83</v>
      </c>
      <c r="C121" s="75" t="s">
        <v>152</v>
      </c>
      <c r="D121" s="75">
        <v>15.0</v>
      </c>
      <c r="E121" s="75" t="s">
        <v>126</v>
      </c>
      <c r="F121" s="75" t="s">
        <v>357</v>
      </c>
      <c r="G121" s="75" t="s">
        <v>358</v>
      </c>
      <c r="H121" s="75" t="s">
        <v>359</v>
      </c>
      <c r="I121" s="75" t="s">
        <v>101</v>
      </c>
    </row>
    <row r="122" ht="15.75" customHeight="1">
      <c r="A122" s="92"/>
      <c r="B122" s="92"/>
      <c r="C122" s="92"/>
      <c r="D122" s="92"/>
      <c r="E122" s="92"/>
      <c r="F122" s="92"/>
      <c r="G122" s="92"/>
      <c r="H122" s="92"/>
      <c r="I122" s="92"/>
    </row>
    <row r="123" ht="15.75" customHeight="1">
      <c r="A123" s="92"/>
      <c r="B123" s="92"/>
      <c r="C123" s="92"/>
      <c r="D123" s="92"/>
      <c r="E123" s="92"/>
      <c r="F123" s="92"/>
      <c r="G123" s="92"/>
      <c r="H123" s="92"/>
      <c r="I123" s="92"/>
    </row>
    <row r="124" ht="15.75" customHeight="1">
      <c r="A124" s="92"/>
      <c r="B124" s="92"/>
      <c r="C124" s="92"/>
      <c r="D124" s="92"/>
      <c r="E124" s="92"/>
      <c r="F124" s="92"/>
      <c r="G124" s="92"/>
      <c r="H124" s="92"/>
      <c r="I124" s="92"/>
    </row>
    <row r="125" ht="15.75" customHeight="1">
      <c r="A125" s="92"/>
      <c r="B125" s="92"/>
      <c r="C125" s="92"/>
      <c r="D125" s="92"/>
      <c r="E125" s="92"/>
      <c r="F125" s="92"/>
      <c r="G125" s="92"/>
      <c r="H125" s="92"/>
      <c r="I125" s="92"/>
    </row>
    <row r="126" ht="15.75" customHeight="1">
      <c r="A126" s="92"/>
      <c r="B126" s="92"/>
      <c r="C126" s="92"/>
      <c r="D126" s="92"/>
      <c r="E126" s="92"/>
      <c r="F126" s="92"/>
      <c r="G126" s="92"/>
      <c r="H126" s="92"/>
      <c r="I126" s="92"/>
    </row>
    <row r="127" ht="15.75" customHeight="1">
      <c r="A127" s="92"/>
      <c r="B127" s="92"/>
      <c r="C127" s="92"/>
      <c r="D127" s="92"/>
      <c r="E127" s="92"/>
      <c r="F127" s="92"/>
      <c r="G127" s="92"/>
      <c r="H127" s="92"/>
      <c r="I127" s="92"/>
    </row>
    <row r="128" ht="15.75" customHeight="1">
      <c r="A128" s="92"/>
      <c r="B128" s="92"/>
      <c r="C128" s="92"/>
      <c r="D128" s="92"/>
      <c r="E128" s="92"/>
      <c r="F128" s="92"/>
      <c r="G128" s="92"/>
      <c r="H128" s="92"/>
      <c r="I128" s="92"/>
    </row>
    <row r="129" ht="15.75" customHeight="1">
      <c r="A129" s="92"/>
      <c r="B129" s="92"/>
      <c r="C129" s="92"/>
      <c r="D129" s="92"/>
      <c r="E129" s="92"/>
      <c r="F129" s="92"/>
      <c r="G129" s="92"/>
      <c r="H129" s="92"/>
      <c r="I129" s="92"/>
    </row>
    <row r="130" ht="15.75" customHeight="1">
      <c r="A130" s="92"/>
      <c r="B130" s="92"/>
      <c r="C130" s="92"/>
      <c r="D130" s="92"/>
      <c r="E130" s="92"/>
      <c r="F130" s="92"/>
      <c r="G130" s="92"/>
      <c r="H130" s="92"/>
      <c r="I130" s="92"/>
    </row>
    <row r="131" ht="15.75" customHeight="1">
      <c r="A131" s="92"/>
      <c r="B131" s="92"/>
      <c r="C131" s="92"/>
      <c r="D131" s="92"/>
      <c r="E131" s="92"/>
      <c r="F131" s="92"/>
      <c r="G131" s="92"/>
      <c r="H131" s="92"/>
      <c r="I131" s="92"/>
    </row>
    <row r="132" ht="15.75" customHeight="1">
      <c r="A132" s="92"/>
      <c r="B132" s="92"/>
      <c r="C132" s="92"/>
      <c r="D132" s="92"/>
      <c r="E132" s="92"/>
      <c r="F132" s="92"/>
      <c r="G132" s="92"/>
      <c r="H132" s="92"/>
      <c r="I132" s="92"/>
    </row>
    <row r="133" ht="15.75" customHeight="1">
      <c r="A133" s="92"/>
      <c r="B133" s="92"/>
      <c r="C133" s="92"/>
      <c r="D133" s="92"/>
      <c r="E133" s="92"/>
      <c r="F133" s="92"/>
      <c r="G133" s="92"/>
      <c r="H133" s="92"/>
      <c r="I133" s="92"/>
    </row>
    <row r="134" ht="15.75" customHeight="1">
      <c r="A134" s="92"/>
      <c r="B134" s="92"/>
      <c r="C134" s="92"/>
      <c r="D134" s="92"/>
      <c r="E134" s="92"/>
      <c r="F134" s="92"/>
      <c r="G134" s="92"/>
      <c r="H134" s="92"/>
      <c r="I134" s="92"/>
    </row>
    <row r="135" ht="15.75" customHeight="1">
      <c r="A135" s="92"/>
      <c r="B135" s="92"/>
      <c r="C135" s="92"/>
      <c r="D135" s="92"/>
      <c r="E135" s="92"/>
      <c r="F135" s="92"/>
      <c r="G135" s="92"/>
      <c r="H135" s="92"/>
      <c r="I135" s="92"/>
    </row>
    <row r="136" ht="15.75" customHeight="1">
      <c r="A136" s="92"/>
      <c r="B136" s="92"/>
      <c r="C136" s="92"/>
      <c r="D136" s="92"/>
      <c r="E136" s="92"/>
      <c r="F136" s="92"/>
      <c r="G136" s="92"/>
      <c r="H136" s="92"/>
      <c r="I136" s="92"/>
    </row>
    <row r="137" ht="15.75" customHeight="1">
      <c r="A137" s="92"/>
      <c r="B137" s="92"/>
      <c r="C137" s="92"/>
      <c r="D137" s="92"/>
      <c r="E137" s="92"/>
      <c r="F137" s="92"/>
      <c r="G137" s="92"/>
      <c r="H137" s="92"/>
      <c r="I137" s="92"/>
    </row>
    <row r="138" ht="15.75" customHeight="1">
      <c r="A138" s="92"/>
      <c r="B138" s="92"/>
      <c r="C138" s="92"/>
      <c r="D138" s="92"/>
      <c r="E138" s="92"/>
      <c r="F138" s="92"/>
      <c r="G138" s="92"/>
      <c r="H138" s="92"/>
      <c r="I138" s="92"/>
    </row>
    <row r="139" ht="15.75" customHeight="1">
      <c r="A139" s="92"/>
      <c r="B139" s="92"/>
      <c r="C139" s="92"/>
      <c r="D139" s="92"/>
      <c r="E139" s="92"/>
      <c r="F139" s="92"/>
      <c r="G139" s="92"/>
      <c r="H139" s="92"/>
      <c r="I139" s="92"/>
    </row>
    <row r="140" ht="15.75" customHeight="1">
      <c r="A140" s="92"/>
      <c r="B140" s="92"/>
      <c r="C140" s="92"/>
      <c r="D140" s="92"/>
      <c r="E140" s="92"/>
      <c r="F140" s="92"/>
      <c r="G140" s="92"/>
      <c r="H140" s="92"/>
      <c r="I140" s="92"/>
    </row>
    <row r="141" ht="15.75" customHeight="1">
      <c r="A141" s="92"/>
      <c r="B141" s="92"/>
      <c r="C141" s="92"/>
      <c r="D141" s="92"/>
      <c r="E141" s="92"/>
      <c r="F141" s="92"/>
      <c r="G141" s="92"/>
      <c r="H141" s="92"/>
      <c r="I141" s="92"/>
    </row>
    <row r="1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</row>
    <row r="143" ht="15.75" customHeight="1">
      <c r="A143" s="92"/>
      <c r="B143" s="92"/>
      <c r="C143" s="92"/>
      <c r="D143" s="92"/>
      <c r="E143" s="92"/>
      <c r="F143" s="92"/>
      <c r="G143" s="92"/>
      <c r="H143" s="92"/>
      <c r="I143" s="92"/>
    </row>
    <row r="144" ht="15.75" customHeight="1">
      <c r="A144" s="92"/>
      <c r="B144" s="92"/>
      <c r="C144" s="92"/>
      <c r="D144" s="92"/>
      <c r="E144" s="92"/>
      <c r="F144" s="92"/>
      <c r="G144" s="92"/>
      <c r="H144" s="92"/>
      <c r="I144" s="92"/>
    </row>
    <row r="145" ht="15.75" customHeight="1">
      <c r="A145" s="92"/>
      <c r="B145" s="92"/>
      <c r="C145" s="92"/>
      <c r="D145" s="92"/>
      <c r="E145" s="92"/>
      <c r="F145" s="92"/>
      <c r="G145" s="92"/>
      <c r="H145" s="92"/>
      <c r="I145" s="92"/>
    </row>
    <row r="146" ht="15.75" customHeight="1">
      <c r="A146" s="92"/>
      <c r="B146" s="92"/>
      <c r="C146" s="92"/>
      <c r="D146" s="92"/>
      <c r="E146" s="92"/>
      <c r="F146" s="92"/>
      <c r="G146" s="92"/>
      <c r="H146" s="92"/>
      <c r="I146" s="92"/>
    </row>
    <row r="147" ht="15.75" customHeight="1">
      <c r="A147" s="92"/>
      <c r="B147" s="92"/>
      <c r="C147" s="92"/>
      <c r="D147" s="92"/>
      <c r="E147" s="92"/>
      <c r="F147" s="92"/>
      <c r="G147" s="92"/>
      <c r="H147" s="92"/>
      <c r="I147" s="92"/>
    </row>
    <row r="148" ht="15.75" customHeight="1">
      <c r="A148" s="92"/>
      <c r="B148" s="92"/>
      <c r="C148" s="92"/>
      <c r="D148" s="92"/>
      <c r="E148" s="92"/>
      <c r="F148" s="92"/>
      <c r="G148" s="92"/>
      <c r="H148" s="92"/>
      <c r="I148" s="92"/>
    </row>
    <row r="149" ht="15.75" customHeight="1">
      <c r="A149" s="92"/>
      <c r="B149" s="92"/>
      <c r="C149" s="92"/>
      <c r="D149" s="92"/>
      <c r="E149" s="92"/>
      <c r="F149" s="92"/>
      <c r="G149" s="92"/>
      <c r="H149" s="92"/>
      <c r="I149" s="92"/>
    </row>
    <row r="150" ht="15.75" customHeight="1">
      <c r="A150" s="92"/>
      <c r="B150" s="92"/>
      <c r="C150" s="92"/>
      <c r="D150" s="92"/>
      <c r="E150" s="92"/>
      <c r="F150" s="92"/>
      <c r="G150" s="92"/>
      <c r="H150" s="92"/>
      <c r="I150" s="92"/>
    </row>
    <row r="151" ht="15.75" customHeight="1">
      <c r="A151" s="92"/>
      <c r="B151" s="92"/>
      <c r="C151" s="92"/>
      <c r="D151" s="92"/>
      <c r="E151" s="92"/>
      <c r="F151" s="92"/>
      <c r="G151" s="92"/>
      <c r="H151" s="92"/>
      <c r="I151" s="92"/>
    </row>
    <row r="152" ht="15.75" customHeight="1">
      <c r="A152" s="92"/>
      <c r="B152" s="92"/>
      <c r="C152" s="92"/>
      <c r="D152" s="92"/>
      <c r="E152" s="92"/>
      <c r="F152" s="92"/>
      <c r="G152" s="92"/>
      <c r="H152" s="92"/>
      <c r="I152" s="92"/>
    </row>
    <row r="153" ht="15.75" customHeight="1">
      <c r="A153" s="92"/>
      <c r="B153" s="92"/>
      <c r="C153" s="92"/>
      <c r="D153" s="92"/>
      <c r="E153" s="92"/>
      <c r="F153" s="92"/>
      <c r="G153" s="92"/>
      <c r="H153" s="92"/>
      <c r="I153" s="92"/>
    </row>
    <row r="154" ht="15.75" customHeight="1">
      <c r="A154" s="92"/>
      <c r="B154" s="92"/>
      <c r="C154" s="92"/>
      <c r="D154" s="92"/>
      <c r="E154" s="92"/>
      <c r="F154" s="92"/>
      <c r="G154" s="92"/>
      <c r="H154" s="92"/>
      <c r="I154" s="92"/>
    </row>
    <row r="155" ht="15.75" customHeight="1">
      <c r="A155" s="92"/>
      <c r="B155" s="92"/>
      <c r="C155" s="92"/>
      <c r="D155" s="92"/>
      <c r="E155" s="92"/>
      <c r="F155" s="92"/>
      <c r="G155" s="92"/>
      <c r="H155" s="92"/>
      <c r="I155" s="92"/>
    </row>
    <row r="156" ht="15.75" customHeight="1">
      <c r="A156" s="92"/>
      <c r="B156" s="92"/>
      <c r="C156" s="92"/>
      <c r="D156" s="92"/>
      <c r="E156" s="92"/>
      <c r="F156" s="92"/>
      <c r="G156" s="92"/>
      <c r="H156" s="92"/>
      <c r="I156" s="92"/>
    </row>
    <row r="157" ht="15.75" customHeight="1">
      <c r="A157" s="92"/>
      <c r="B157" s="92"/>
      <c r="C157" s="92"/>
      <c r="D157" s="92"/>
      <c r="E157" s="92"/>
      <c r="F157" s="92"/>
      <c r="G157" s="92"/>
      <c r="H157" s="92"/>
      <c r="I157" s="92"/>
    </row>
    <row r="158" ht="15.75" customHeight="1">
      <c r="A158" s="92"/>
      <c r="B158" s="92"/>
      <c r="C158" s="92"/>
      <c r="D158" s="92"/>
      <c r="E158" s="92"/>
      <c r="F158" s="92"/>
      <c r="G158" s="92"/>
      <c r="H158" s="92"/>
      <c r="I158" s="92"/>
    </row>
    <row r="159" ht="15.75" customHeight="1">
      <c r="A159" s="92"/>
      <c r="B159" s="92"/>
      <c r="C159" s="92"/>
      <c r="D159" s="92"/>
      <c r="E159" s="92"/>
      <c r="F159" s="92"/>
      <c r="G159" s="92"/>
      <c r="H159" s="92"/>
      <c r="I159" s="92"/>
    </row>
    <row r="160" ht="15.75" customHeight="1">
      <c r="A160" s="92"/>
      <c r="B160" s="92"/>
      <c r="C160" s="92"/>
      <c r="D160" s="92"/>
      <c r="E160" s="92"/>
      <c r="F160" s="92"/>
      <c r="G160" s="92"/>
      <c r="H160" s="92"/>
      <c r="I160" s="92"/>
    </row>
    <row r="161" ht="15.75" customHeight="1">
      <c r="A161" s="92"/>
      <c r="B161" s="92"/>
      <c r="C161" s="92"/>
      <c r="D161" s="92"/>
      <c r="E161" s="92"/>
      <c r="F161" s="92"/>
      <c r="G161" s="92"/>
      <c r="H161" s="92"/>
      <c r="I161" s="92"/>
    </row>
    <row r="162" ht="15.75" customHeight="1">
      <c r="A162" s="92"/>
      <c r="B162" s="92"/>
      <c r="C162" s="92"/>
      <c r="D162" s="92"/>
      <c r="E162" s="92"/>
      <c r="F162" s="92"/>
      <c r="G162" s="92"/>
      <c r="H162" s="92"/>
      <c r="I162" s="92"/>
    </row>
    <row r="163" ht="15.75" customHeight="1">
      <c r="A163" s="92"/>
      <c r="B163" s="92"/>
      <c r="C163" s="92"/>
      <c r="D163" s="92"/>
      <c r="E163" s="92"/>
      <c r="F163" s="92"/>
      <c r="G163" s="92"/>
      <c r="H163" s="92"/>
      <c r="I163" s="92"/>
    </row>
    <row r="164" ht="15.75" customHeight="1">
      <c r="A164" s="92"/>
      <c r="B164" s="92"/>
      <c r="C164" s="92"/>
      <c r="D164" s="92"/>
      <c r="E164" s="92"/>
      <c r="F164" s="92"/>
      <c r="G164" s="92"/>
      <c r="H164" s="92"/>
      <c r="I164" s="92"/>
    </row>
    <row r="165" ht="15.75" customHeight="1">
      <c r="A165" s="92"/>
      <c r="B165" s="92"/>
      <c r="C165" s="92"/>
      <c r="D165" s="92"/>
      <c r="E165" s="92"/>
      <c r="F165" s="92"/>
      <c r="G165" s="92"/>
      <c r="H165" s="92"/>
      <c r="I165" s="92"/>
    </row>
    <row r="166" ht="15.75" customHeight="1">
      <c r="A166" s="92"/>
      <c r="B166" s="92"/>
      <c r="C166" s="92"/>
      <c r="D166" s="92"/>
      <c r="E166" s="92"/>
      <c r="F166" s="92"/>
      <c r="G166" s="92"/>
      <c r="H166" s="92"/>
      <c r="I166" s="92"/>
    </row>
    <row r="167" ht="15.75" customHeight="1">
      <c r="A167" s="92"/>
      <c r="B167" s="92"/>
      <c r="C167" s="92"/>
      <c r="D167" s="92"/>
      <c r="E167" s="92"/>
      <c r="F167" s="92"/>
      <c r="G167" s="92"/>
      <c r="H167" s="92"/>
      <c r="I167" s="92"/>
    </row>
    <row r="168" ht="15.75" customHeight="1">
      <c r="A168" s="92"/>
      <c r="B168" s="92"/>
      <c r="C168" s="92"/>
      <c r="D168" s="92"/>
      <c r="E168" s="92"/>
      <c r="F168" s="92"/>
      <c r="G168" s="92"/>
      <c r="H168" s="92"/>
      <c r="I168" s="92"/>
    </row>
    <row r="169" ht="15.75" customHeight="1">
      <c r="A169" s="92"/>
      <c r="B169" s="92"/>
      <c r="C169" s="92"/>
      <c r="D169" s="92"/>
      <c r="E169" s="92"/>
      <c r="F169" s="92"/>
      <c r="G169" s="92"/>
      <c r="H169" s="92"/>
      <c r="I169" s="92"/>
    </row>
    <row r="170" ht="15.75" customHeight="1">
      <c r="A170" s="92"/>
      <c r="B170" s="92"/>
      <c r="C170" s="92"/>
      <c r="D170" s="92"/>
      <c r="E170" s="92"/>
      <c r="F170" s="92"/>
      <c r="G170" s="92"/>
      <c r="H170" s="92"/>
      <c r="I170" s="92"/>
    </row>
    <row r="171" ht="15.75" customHeight="1">
      <c r="A171" s="92"/>
      <c r="B171" s="92"/>
      <c r="C171" s="92"/>
      <c r="D171" s="92"/>
      <c r="E171" s="92"/>
      <c r="F171" s="92"/>
      <c r="G171" s="92"/>
      <c r="H171" s="92"/>
      <c r="I171" s="92"/>
    </row>
    <row r="172" ht="15.75" customHeight="1">
      <c r="A172" s="92"/>
      <c r="B172" s="92"/>
      <c r="C172" s="92"/>
      <c r="D172" s="92"/>
      <c r="E172" s="92"/>
      <c r="F172" s="92"/>
      <c r="G172" s="92"/>
      <c r="H172" s="92"/>
      <c r="I172" s="92"/>
    </row>
    <row r="173" ht="15.75" customHeight="1">
      <c r="A173" s="92"/>
      <c r="B173" s="92"/>
      <c r="C173" s="92"/>
      <c r="D173" s="92"/>
      <c r="E173" s="92"/>
      <c r="F173" s="92"/>
      <c r="G173" s="92"/>
      <c r="H173" s="92"/>
      <c r="I173" s="92"/>
    </row>
    <row r="174" ht="15.75" customHeight="1">
      <c r="A174" s="92"/>
      <c r="B174" s="92"/>
      <c r="C174" s="92"/>
      <c r="D174" s="92"/>
      <c r="E174" s="92"/>
      <c r="F174" s="92"/>
      <c r="G174" s="92"/>
      <c r="H174" s="92"/>
      <c r="I174" s="92"/>
    </row>
    <row r="175" ht="15.75" customHeight="1">
      <c r="A175" s="92"/>
      <c r="B175" s="92"/>
      <c r="C175" s="92"/>
      <c r="D175" s="92"/>
      <c r="E175" s="92"/>
      <c r="F175" s="92"/>
      <c r="G175" s="92"/>
      <c r="H175" s="92"/>
      <c r="I175" s="92"/>
    </row>
    <row r="176" ht="15.75" customHeight="1">
      <c r="A176" s="92"/>
      <c r="B176" s="92"/>
      <c r="C176" s="92"/>
      <c r="D176" s="92"/>
      <c r="E176" s="92"/>
      <c r="F176" s="92"/>
      <c r="G176" s="92"/>
      <c r="H176" s="92"/>
      <c r="I176" s="92"/>
    </row>
    <row r="177" ht="15.75" customHeight="1">
      <c r="A177" s="92"/>
      <c r="B177" s="92"/>
      <c r="C177" s="92"/>
      <c r="D177" s="92"/>
      <c r="E177" s="92"/>
      <c r="F177" s="92"/>
      <c r="G177" s="92"/>
      <c r="H177" s="92"/>
      <c r="I177" s="92"/>
    </row>
    <row r="178" ht="15.75" customHeight="1">
      <c r="A178" s="92"/>
      <c r="B178" s="92"/>
      <c r="C178" s="92"/>
      <c r="D178" s="92"/>
      <c r="E178" s="92"/>
      <c r="F178" s="92"/>
      <c r="G178" s="92"/>
      <c r="H178" s="92"/>
      <c r="I178" s="92"/>
    </row>
    <row r="179" ht="15.75" customHeight="1">
      <c r="A179" s="92"/>
      <c r="B179" s="92"/>
      <c r="C179" s="92"/>
      <c r="D179" s="92"/>
      <c r="E179" s="92"/>
      <c r="F179" s="92"/>
      <c r="G179" s="92"/>
      <c r="H179" s="92"/>
      <c r="I179" s="92"/>
    </row>
    <row r="180" ht="15.75" customHeight="1">
      <c r="A180" s="92"/>
      <c r="B180" s="92"/>
      <c r="C180" s="92"/>
      <c r="D180" s="92"/>
      <c r="E180" s="92"/>
      <c r="F180" s="92"/>
      <c r="G180" s="92"/>
      <c r="H180" s="92"/>
      <c r="I180" s="92"/>
    </row>
    <row r="181" ht="15.75" customHeight="1">
      <c r="A181" s="92"/>
      <c r="B181" s="92"/>
      <c r="C181" s="92"/>
      <c r="D181" s="92"/>
      <c r="E181" s="92"/>
      <c r="F181" s="92"/>
      <c r="G181" s="92"/>
      <c r="H181" s="92"/>
      <c r="I181" s="92"/>
    </row>
    <row r="182" ht="15.75" customHeight="1">
      <c r="A182" s="92"/>
      <c r="B182" s="92"/>
      <c r="C182" s="92"/>
      <c r="D182" s="92"/>
      <c r="E182" s="92"/>
      <c r="F182" s="92"/>
      <c r="G182" s="92"/>
      <c r="H182" s="92"/>
      <c r="I182" s="92"/>
    </row>
    <row r="183" ht="15.75" customHeight="1">
      <c r="A183" s="92"/>
      <c r="B183" s="92"/>
      <c r="C183" s="92"/>
      <c r="D183" s="92"/>
      <c r="E183" s="92"/>
      <c r="F183" s="92"/>
      <c r="G183" s="92"/>
      <c r="H183" s="92"/>
      <c r="I183" s="92"/>
    </row>
    <row r="184" ht="15.75" customHeight="1">
      <c r="A184" s="92"/>
      <c r="B184" s="92"/>
      <c r="C184" s="92"/>
      <c r="D184" s="92"/>
      <c r="E184" s="92"/>
      <c r="F184" s="92"/>
      <c r="G184" s="92"/>
      <c r="H184" s="92"/>
      <c r="I184" s="92"/>
    </row>
    <row r="185" ht="15.75" customHeight="1">
      <c r="A185" s="92"/>
      <c r="B185" s="92"/>
      <c r="C185" s="92"/>
      <c r="D185" s="92"/>
      <c r="E185" s="92"/>
      <c r="F185" s="92"/>
      <c r="G185" s="92"/>
      <c r="H185" s="92"/>
      <c r="I185" s="92"/>
    </row>
    <row r="186" ht="15.75" customHeight="1">
      <c r="A186" s="92"/>
      <c r="B186" s="92"/>
      <c r="C186" s="92"/>
      <c r="D186" s="92"/>
      <c r="E186" s="92"/>
      <c r="F186" s="92"/>
      <c r="G186" s="92"/>
      <c r="H186" s="92"/>
      <c r="I186" s="92"/>
    </row>
    <row r="187" ht="15.75" customHeight="1">
      <c r="A187" s="92"/>
      <c r="B187" s="92"/>
      <c r="C187" s="92"/>
      <c r="D187" s="92"/>
      <c r="E187" s="92"/>
      <c r="F187" s="92"/>
      <c r="G187" s="92"/>
      <c r="H187" s="92"/>
      <c r="I187" s="92"/>
    </row>
    <row r="188" ht="15.75" customHeight="1">
      <c r="A188" s="92"/>
      <c r="B188" s="92"/>
      <c r="C188" s="92"/>
      <c r="D188" s="92"/>
      <c r="E188" s="92"/>
      <c r="F188" s="92"/>
      <c r="G188" s="92"/>
      <c r="H188" s="92"/>
      <c r="I188" s="92"/>
    </row>
    <row r="189" ht="15.75" customHeight="1">
      <c r="A189" s="92"/>
      <c r="B189" s="92"/>
      <c r="C189" s="92"/>
      <c r="D189" s="92"/>
      <c r="E189" s="92"/>
      <c r="F189" s="92"/>
      <c r="G189" s="92"/>
      <c r="H189" s="92"/>
      <c r="I189" s="92"/>
    </row>
    <row r="190" ht="15.75" customHeight="1">
      <c r="A190" s="92"/>
      <c r="B190" s="92"/>
      <c r="C190" s="92"/>
      <c r="D190" s="92"/>
      <c r="E190" s="92"/>
      <c r="F190" s="92"/>
      <c r="G190" s="92"/>
      <c r="H190" s="92"/>
      <c r="I190" s="92"/>
    </row>
    <row r="191" ht="15.75" customHeight="1">
      <c r="A191" s="92"/>
      <c r="B191" s="92"/>
      <c r="C191" s="92"/>
      <c r="D191" s="92"/>
      <c r="E191" s="92"/>
      <c r="F191" s="92"/>
      <c r="G191" s="92"/>
      <c r="H191" s="92"/>
      <c r="I191" s="92"/>
    </row>
    <row r="192" ht="15.75" customHeight="1">
      <c r="A192" s="92"/>
      <c r="B192" s="92"/>
      <c r="C192" s="92"/>
      <c r="D192" s="92"/>
      <c r="E192" s="92"/>
      <c r="F192" s="92"/>
      <c r="G192" s="92"/>
      <c r="H192" s="92"/>
      <c r="I192" s="92"/>
    </row>
    <row r="193" ht="15.75" customHeight="1">
      <c r="A193" s="92"/>
      <c r="B193" s="92"/>
      <c r="C193" s="92"/>
      <c r="D193" s="92"/>
      <c r="E193" s="92"/>
      <c r="F193" s="92"/>
      <c r="G193" s="92"/>
      <c r="H193" s="92"/>
      <c r="I193" s="92"/>
    </row>
    <row r="194" ht="15.75" customHeight="1">
      <c r="A194" s="92"/>
      <c r="B194" s="92"/>
      <c r="C194" s="92"/>
      <c r="D194" s="92"/>
      <c r="E194" s="92"/>
      <c r="F194" s="92"/>
      <c r="G194" s="92"/>
      <c r="H194" s="92"/>
      <c r="I194" s="92"/>
    </row>
    <row r="195" ht="15.75" customHeight="1">
      <c r="A195" s="92"/>
      <c r="B195" s="92"/>
      <c r="C195" s="92"/>
      <c r="D195" s="92"/>
      <c r="E195" s="92"/>
      <c r="F195" s="92"/>
      <c r="G195" s="92"/>
      <c r="H195" s="92"/>
      <c r="I195" s="92"/>
    </row>
    <row r="196" ht="15.75" customHeight="1">
      <c r="A196" s="92"/>
      <c r="B196" s="92"/>
      <c r="C196" s="92"/>
      <c r="D196" s="92"/>
      <c r="E196" s="92"/>
      <c r="F196" s="92"/>
      <c r="G196" s="92"/>
      <c r="H196" s="92"/>
      <c r="I196" s="92"/>
    </row>
    <row r="197" ht="15.75" customHeight="1">
      <c r="A197" s="92"/>
      <c r="B197" s="92"/>
      <c r="C197" s="92"/>
      <c r="D197" s="92"/>
      <c r="E197" s="92"/>
      <c r="F197" s="92"/>
      <c r="G197" s="92"/>
      <c r="H197" s="92"/>
      <c r="I197" s="92"/>
    </row>
    <row r="198" ht="15.75" customHeight="1">
      <c r="A198" s="92"/>
      <c r="B198" s="92"/>
      <c r="C198" s="92"/>
      <c r="D198" s="92"/>
      <c r="E198" s="92"/>
      <c r="F198" s="92"/>
      <c r="G198" s="92"/>
      <c r="H198" s="92"/>
      <c r="I198" s="92"/>
    </row>
    <row r="199" ht="15.75" customHeight="1">
      <c r="A199" s="92"/>
      <c r="B199" s="92"/>
      <c r="C199" s="92"/>
      <c r="D199" s="92"/>
      <c r="E199" s="92"/>
      <c r="F199" s="92"/>
      <c r="G199" s="92"/>
      <c r="H199" s="92"/>
      <c r="I199" s="92"/>
    </row>
    <row r="200" ht="15.75" customHeight="1">
      <c r="A200" s="92"/>
      <c r="B200" s="92"/>
      <c r="C200" s="92"/>
      <c r="D200" s="92"/>
      <c r="E200" s="92"/>
      <c r="F200" s="92"/>
      <c r="G200" s="92"/>
      <c r="H200" s="92"/>
      <c r="I200" s="9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13:I13"/>
    <mergeCell ref="A25:I25"/>
    <mergeCell ref="A43:I43"/>
  </mergeCells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86.0"/>
    <col customWidth="1" min="3" max="26" width="8.63"/>
  </cols>
  <sheetData>
    <row r="1" ht="31.5" customHeight="1">
      <c r="A1" s="93" t="s">
        <v>360</v>
      </c>
    </row>
    <row r="2" ht="30.0" customHeight="1">
      <c r="A2" s="94"/>
      <c r="B2" s="94"/>
    </row>
    <row r="3" ht="30.0" customHeight="1">
      <c r="A3" s="95" t="s">
        <v>361</v>
      </c>
      <c r="B3" s="94" t="s">
        <v>362</v>
      </c>
    </row>
    <row r="4" ht="30.0" customHeight="1">
      <c r="A4" s="95" t="s">
        <v>363</v>
      </c>
      <c r="B4" s="94" t="s">
        <v>364</v>
      </c>
    </row>
    <row r="5" ht="30.0" customHeight="1">
      <c r="A5" s="95" t="s">
        <v>365</v>
      </c>
      <c r="B5" s="94" t="s">
        <v>366</v>
      </c>
    </row>
    <row r="6" ht="30.0" customHeight="1">
      <c r="A6" s="95" t="s">
        <v>367</v>
      </c>
      <c r="B6" s="94" t="s">
        <v>368</v>
      </c>
    </row>
    <row r="7" ht="30.0" customHeight="1">
      <c r="A7" s="95" t="s">
        <v>369</v>
      </c>
      <c r="B7" s="94" t="s">
        <v>370</v>
      </c>
    </row>
    <row r="8" ht="30.0" customHeight="1">
      <c r="A8" s="95" t="s">
        <v>371</v>
      </c>
      <c r="B8" s="94" t="s">
        <v>372</v>
      </c>
    </row>
    <row r="9" ht="30.0" customHeight="1">
      <c r="A9" s="95" t="s">
        <v>373</v>
      </c>
      <c r="B9" s="94" t="s">
        <v>374</v>
      </c>
    </row>
    <row r="10">
      <c r="A10" s="96"/>
      <c r="B10" s="92"/>
    </row>
    <row r="11">
      <c r="A11" s="96"/>
      <c r="B11" s="9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